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原始報價\6.成本分析\"/>
    </mc:Choice>
  </mc:AlternateContent>
  <xr:revisionPtr revIDLastSave="0" documentId="13_ncr:1_{A0C084FB-19B7-4ACA-BAA4-9FFD23159916}" xr6:coauthVersionLast="47" xr6:coauthVersionMax="47" xr10:uidLastSave="{00000000-0000-0000-0000-000000000000}"/>
  <bookViews>
    <workbookView xWindow="-108" yWindow="-108" windowWidth="19416" windowHeight="10416" xr2:uid="{61F0BA28-5BA8-474D-A4C0-3ED6E613256C}"/>
  </bookViews>
  <sheets>
    <sheet name="20251219" sheetId="1" r:id="rId1"/>
  </sheets>
  <definedNames>
    <definedName name="_xlnm.Print_Area" localSheetId="0">'20251219'!$A$1:$AA$19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P2" i="1"/>
  <c r="T20" i="1"/>
  <c r="T21" i="1"/>
  <c r="T22" i="1"/>
  <c r="T23" i="1"/>
  <c r="T24" i="1"/>
  <c r="T25" i="1"/>
  <c r="T26" i="1"/>
  <c r="T27" i="1"/>
  <c r="T28" i="1"/>
  <c r="T29" i="1"/>
  <c r="T30" i="1"/>
  <c r="Q16" i="1"/>
  <c r="Q13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P16" i="1"/>
  <c r="O16" i="1"/>
  <c r="P6" i="1"/>
  <c r="S3" i="1"/>
  <c r="V7" i="1"/>
  <c r="V10" i="1"/>
  <c r="I7" i="1"/>
  <c r="I6" i="1"/>
  <c r="J27" i="1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6" i="1"/>
  <c r="Q22" i="1" l="1"/>
  <c r="S22" i="1" s="1"/>
  <c r="Q24" i="1"/>
  <c r="S24" i="1" s="1"/>
  <c r="Q23" i="1"/>
  <c r="S23" i="1" s="1"/>
  <c r="U23" i="1" s="1"/>
  <c r="Q21" i="1"/>
  <c r="S21" i="1" s="1"/>
  <c r="U21" i="1" s="1"/>
  <c r="Q25" i="1"/>
  <c r="S25" i="1" s="1"/>
  <c r="Q20" i="1"/>
  <c r="S20" i="1" s="1"/>
  <c r="U20" i="1" s="1"/>
  <c r="Q18" i="1"/>
  <c r="S18" i="1" s="1"/>
  <c r="U18" i="1" s="1"/>
  <c r="Q17" i="1"/>
  <c r="U17" i="1" s="1"/>
  <c r="Q28" i="1"/>
  <c r="S28" i="1" s="1"/>
  <c r="U28" i="1" s="1"/>
  <c r="Q27" i="1"/>
  <c r="S27" i="1" s="1"/>
  <c r="U27" i="1" s="1"/>
  <c r="Q19" i="1"/>
  <c r="S19" i="1" s="1"/>
  <c r="U19" i="1" s="1"/>
  <c r="Q30" i="1"/>
  <c r="S30" i="1" s="1"/>
  <c r="U30" i="1" s="1"/>
  <c r="Q29" i="1"/>
  <c r="S29" i="1" s="1"/>
  <c r="U29" i="1" s="1"/>
  <c r="W29" i="1" s="1"/>
  <c r="Q26" i="1"/>
  <c r="S26" i="1" s="1"/>
  <c r="U26" i="1" s="1"/>
  <c r="J30" i="1"/>
  <c r="J19" i="1"/>
  <c r="J21" i="1"/>
  <c r="J29" i="1"/>
  <c r="U24" i="1"/>
  <c r="U25" i="1"/>
  <c r="J26" i="1"/>
  <c r="J23" i="1"/>
  <c r="J28" i="1"/>
  <c r="J22" i="1"/>
  <c r="J24" i="1"/>
  <c r="J25" i="1"/>
  <c r="U22" i="1"/>
  <c r="U16" i="1"/>
  <c r="P7" i="1"/>
  <c r="V5" i="1"/>
  <c r="I5" i="1"/>
  <c r="V6" i="1" l="1"/>
  <c r="W24" i="1" s="1"/>
  <c r="W21" i="1"/>
  <c r="J16" i="1"/>
  <c r="W19" i="1" l="1"/>
  <c r="W28" i="1"/>
  <c r="W20" i="1"/>
  <c r="W27" i="1"/>
  <c r="W26" i="1"/>
  <c r="W22" i="1"/>
  <c r="W23" i="1"/>
  <c r="W25" i="1"/>
  <c r="W17" i="1"/>
  <c r="W18" i="1"/>
  <c r="W16" i="1"/>
  <c r="V8" i="1"/>
  <c r="J17" i="1"/>
  <c r="J20" i="1"/>
  <c r="I8" i="1"/>
  <c r="J18" i="1"/>
  <c r="D6" i="1"/>
  <c r="D7" i="1"/>
  <c r="V9" i="1" l="1"/>
  <c r="V11" i="1" s="1"/>
  <c r="W30" i="1"/>
  <c r="W6" i="1"/>
  <c r="W5" i="1"/>
  <c r="J7" i="1"/>
  <c r="J5" i="1"/>
  <c r="J6" i="1"/>
  <c r="I9" i="1"/>
  <c r="J10" i="1" s="1"/>
  <c r="W10" i="1" l="1"/>
  <c r="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林玉蕉a</author>
  </authors>
  <commentList>
    <comment ref="I10" authorId="0" shapeId="0" xr:uid="{3EAD34A8-2F66-4B73-B2CB-9338A920BC45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來源:訂單</t>
        </r>
      </text>
    </comment>
    <comment ref="V10" authorId="0" shapeId="0" xr:uid="{61C87C93-D27E-4F64-8AE9-B33B501CC3A9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來源：訂單</t>
        </r>
      </text>
    </comment>
    <comment ref="B11" authorId="0" shapeId="0" xr:uid="{8CE23E2D-7881-4A4F-8165-71759175808E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材料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銅粉</t>
        </r>
        <r>
          <rPr>
            <sz val="9"/>
            <color indexed="81"/>
            <rFont val="Tahoma"/>
            <family val="2"/>
          </rPr>
          <t>g</t>
        </r>
      </text>
    </comment>
    <comment ref="P11" authorId="0" shapeId="0" xr:uid="{1312B0C7-A23E-4E7E-B39F-29FC9FFF738E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淨重g
材料g
銅粉g</t>
        </r>
      </text>
    </comment>
  </commentList>
</comments>
</file>

<file path=xl/sharedStrings.xml><?xml version="1.0" encoding="utf-8"?>
<sst xmlns="http://schemas.openxmlformats.org/spreadsheetml/2006/main" count="94" uniqueCount="61">
  <si>
    <t>製程</t>
  </si>
  <si>
    <t>單價（元/時）</t>
  </si>
  <si>
    <t>工序</t>
    <phoneticPr fontId="1" type="noConversion"/>
  </si>
  <si>
    <t>工單：</t>
    <phoneticPr fontId="1" type="noConversion"/>
  </si>
  <si>
    <t>產品：</t>
    <phoneticPr fontId="1" type="noConversion"/>
  </si>
  <si>
    <t>加工費(元)</t>
    <phoneticPr fontId="1" type="noConversion"/>
  </si>
  <si>
    <t>運費(元)</t>
    <phoneticPr fontId="1" type="noConversion"/>
  </si>
  <si>
    <t>訂單：</t>
    <phoneticPr fontId="1" type="noConversion"/>
  </si>
  <si>
    <t>良品數量：</t>
    <phoneticPr fontId="1" type="noConversion"/>
  </si>
  <si>
    <t>廢品數量：</t>
    <phoneticPr fontId="1" type="noConversion"/>
  </si>
  <si>
    <t>原料金額：</t>
    <phoneticPr fontId="1" type="noConversion"/>
  </si>
  <si>
    <t>包材金額：</t>
    <phoneticPr fontId="1" type="noConversion"/>
  </si>
  <si>
    <t>生產設備：</t>
    <phoneticPr fontId="1" type="noConversion"/>
  </si>
  <si>
    <t>刀具1金額：</t>
    <phoneticPr fontId="1" type="noConversion"/>
  </si>
  <si>
    <t>投入成本：</t>
    <phoneticPr fontId="1" type="noConversion"/>
  </si>
  <si>
    <t>加工成本：</t>
    <phoneticPr fontId="1" type="noConversion"/>
  </si>
  <si>
    <t>外包成本：</t>
    <phoneticPr fontId="1" type="noConversion"/>
  </si>
  <si>
    <t>總成本：</t>
    <phoneticPr fontId="1" type="noConversion"/>
  </si>
  <si>
    <t>單顆成本：</t>
    <phoneticPr fontId="1" type="noConversion"/>
  </si>
  <si>
    <t>建議售價(毛利潤20%)：</t>
    <phoneticPr fontId="1" type="noConversion"/>
  </si>
  <si>
    <t>投入數量</t>
    <phoneticPr fontId="1" type="noConversion"/>
  </si>
  <si>
    <t>良品數量</t>
    <phoneticPr fontId="1" type="noConversion"/>
  </si>
  <si>
    <t>總投入數量：</t>
    <phoneticPr fontId="1" type="noConversion"/>
  </si>
  <si>
    <t>原料加工金額：</t>
    <phoneticPr fontId="1" type="noConversion"/>
  </si>
  <si>
    <t>銅粉回饋金額：</t>
    <phoneticPr fontId="1" type="noConversion"/>
  </si>
  <si>
    <t>投入成本</t>
    <phoneticPr fontId="1" type="noConversion"/>
  </si>
  <si>
    <t>工序佔比</t>
    <phoneticPr fontId="1" type="noConversion"/>
  </si>
  <si>
    <t>目前售價：</t>
    <phoneticPr fontId="1" type="noConversion"/>
  </si>
  <si>
    <t>【評 估】</t>
    <phoneticPr fontId="1" type="noConversion"/>
  </si>
  <si>
    <t>性質</t>
    <phoneticPr fontId="1" type="noConversion"/>
  </si>
  <si>
    <t>工時/良品數</t>
    <phoneticPr fontId="1" type="noConversion"/>
  </si>
  <si>
    <t>【最近一筆狀況】</t>
    <phoneticPr fontId="1" type="noConversion"/>
  </si>
  <si>
    <t>多顆氣泡袋</t>
    <phoneticPr fontId="1" type="noConversion"/>
  </si>
  <si>
    <t>自動清洗1</t>
    <phoneticPr fontId="1" type="noConversion"/>
  </si>
  <si>
    <t>包裝1</t>
    <phoneticPr fontId="1" type="noConversion"/>
  </si>
  <si>
    <t>廠內</t>
    <phoneticPr fontId="1" type="noConversion"/>
  </si>
  <si>
    <t>校車1</t>
    <phoneticPr fontId="1" type="noConversion"/>
  </si>
  <si>
    <t>車床1</t>
    <phoneticPr fontId="1" type="noConversion"/>
  </si>
  <si>
    <t>2C1</t>
    <phoneticPr fontId="1" type="noConversion"/>
  </si>
  <si>
    <t>149顆無回報,只回報17顆1.21H</t>
    <phoneticPr fontId="1" type="noConversion"/>
  </si>
  <si>
    <t>首件完成→首件表時間,非真實校車</t>
    <phoneticPr fontId="1" type="noConversion"/>
  </si>
  <si>
    <t>3-044027-001SN-0</t>
    <phoneticPr fontId="1" type="noConversion"/>
  </si>
  <si>
    <t>M511-24111304</t>
    <phoneticPr fontId="1" type="noConversion"/>
  </si>
  <si>
    <t>221-20241108002</t>
    <phoneticPr fontId="1" type="noConversion"/>
  </si>
  <si>
    <t>VCMT160408N-SK AC530U</t>
  </si>
  <si>
    <t>1-K-BLADE-00019</t>
  </si>
  <si>
    <t>WDXT042004-G ACP300</t>
  </si>
  <si>
    <t>1-K-BLADE-00029</t>
  </si>
  <si>
    <t>TGAR4200 AC530U</t>
  </si>
  <si>
    <t>1-K-BLADE-00076</t>
  </si>
  <si>
    <t>MMT11IRA60-S VP15TF</t>
  </si>
  <si>
    <t>1-K-BLADE-00092</t>
  </si>
  <si>
    <t>DGR2200JS-15D IC908</t>
  </si>
  <si>
    <t>1-K-BLADE-00192</t>
  </si>
  <si>
    <t>DCMT070204L-F KC5025</t>
  </si>
  <si>
    <t>1-K-BLADE-00002</t>
    <phoneticPr fontId="1" type="noConversion"/>
  </si>
  <si>
    <t>2024年生產</t>
    <phoneticPr fontId="1" type="noConversion"/>
  </si>
  <si>
    <t>用東台機台, 12小時*0.5係數/8H</t>
    <phoneticPr fontId="1" type="noConversion"/>
  </si>
  <si>
    <t>維持2C1採用攤提表,12小時*0.5係數/8H，會比東台貴26/H</t>
    <phoneticPr fontId="1" type="noConversion"/>
  </si>
  <si>
    <t>廠商預告下月會調整，先依照去年價格計算</t>
    <phoneticPr fontId="1" type="noConversion"/>
  </si>
  <si>
    <t>外購$75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</si>
</sst>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_);[Red]\(0\)"/>
    <numFmt numFmtId="177" formatCode="0.00_);[Red]\(0.00\)"/>
    <numFmt numFmtId="178" formatCode="#,##0_ "/>
    <numFmt numFmtId="179" formatCode="0.0%"/>
    <numFmt numFmtId="180" formatCode="_-* #,##0_-;\-* #,##0_-;_-* &quot;-&quot;??_-;_-@_-"/>
  </numFmts>
  <fonts count="2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"/>
      <family val="1"/>
    </font>
    <font>
      <b/>
      <sz val="12"/>
      <color theme="1"/>
      <name val="新細明體-ExtB"/>
      <family val="1"/>
      <charset val="136"/>
    </font>
    <font>
      <sz val="12"/>
      <color theme="1"/>
      <name val="Microsoft JhengHei"/>
      <family val="2"/>
    </font>
    <font>
      <b/>
      <sz val="11"/>
      <color theme="1"/>
      <name val="新細明體"/>
      <family val="1"/>
      <charset val="136"/>
      <scheme val="minor"/>
    </font>
    <font>
      <sz val="12"/>
      <color rgb="FFFF0000"/>
      <name val="Microsoft JhengHei"/>
      <family val="2"/>
    </font>
    <font>
      <sz val="20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2"/>
      <name val="PMingLiU"/>
      <family val="1"/>
      <charset val="136"/>
    </font>
    <font>
      <sz val="1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64">
    <xf numFmtId="0" fontId="0" fillId="0" borderId="0" xfId="0"/>
    <xf numFmtId="0" fontId="2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176" fontId="8" fillId="0" borderId="0" xfId="0" applyNumberFormat="1" applyFont="1"/>
    <xf numFmtId="9" fontId="8" fillId="0" borderId="0" xfId="1" applyFont="1" applyAlignment="1">
      <alignment horizontal="center"/>
    </xf>
    <xf numFmtId="178" fontId="8" fillId="0" borderId="0" xfId="0" applyNumberFormat="1" applyFont="1"/>
    <xf numFmtId="0" fontId="2" fillId="0" borderId="0" xfId="0" applyFont="1" applyAlignment="1">
      <alignment vertical="center" wrapText="1"/>
    </xf>
    <xf numFmtId="2" fontId="8" fillId="3" borderId="0" xfId="0" applyNumberFormat="1" applyFont="1" applyFill="1"/>
    <xf numFmtId="9" fontId="8" fillId="0" borderId="0" xfId="1" applyFont="1" applyAlignment="1"/>
    <xf numFmtId="0" fontId="2" fillId="0" borderId="0" xfId="0" applyFont="1" applyAlignment="1">
      <alignment horizontal="center" vertical="center" wrapText="1"/>
    </xf>
    <xf numFmtId="2" fontId="8" fillId="5" borderId="0" xfId="0" applyNumberFormat="1" applyFont="1" applyFill="1"/>
    <xf numFmtId="0" fontId="2" fillId="0" borderId="0" xfId="0" applyFont="1" applyAlignment="1">
      <alignment horizontal="right"/>
    </xf>
    <xf numFmtId="0" fontId="9" fillId="0" borderId="0" xfId="0" applyFont="1"/>
    <xf numFmtId="9" fontId="2" fillId="0" borderId="0" xfId="1" applyFont="1" applyAlignment="1"/>
    <xf numFmtId="0" fontId="2" fillId="2" borderId="0" xfId="0" applyFont="1" applyFill="1" applyAlignment="1">
      <alignment horizontal="right"/>
    </xf>
    <xf numFmtId="2" fontId="2" fillId="3" borderId="0" xfId="0" applyNumberFormat="1" applyFont="1" applyFill="1"/>
    <xf numFmtId="9" fontId="2" fillId="4" borderId="0" xfId="1" applyFont="1" applyFill="1" applyAlignment="1"/>
    <xf numFmtId="2" fontId="2" fillId="5" borderId="0" xfId="0" applyNumberFormat="1" applyFont="1" applyFill="1"/>
    <xf numFmtId="0" fontId="12" fillId="0" borderId="0" xfId="0" applyFont="1"/>
    <xf numFmtId="176" fontId="8" fillId="0" borderId="0" xfId="0" applyNumberFormat="1" applyFont="1" applyAlignment="1">
      <alignment vertical="center" wrapText="1"/>
    </xf>
    <xf numFmtId="177" fontId="8" fillId="0" borderId="0" xfId="0" applyNumberFormat="1" applyFont="1"/>
    <xf numFmtId="9" fontId="9" fillId="0" borderId="0" xfId="0" applyNumberFormat="1" applyFont="1"/>
    <xf numFmtId="177" fontId="9" fillId="0" borderId="0" xfId="0" applyNumberFormat="1" applyFont="1"/>
    <xf numFmtId="0" fontId="1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4" fillId="6" borderId="0" xfId="0" applyFont="1" applyFill="1"/>
    <xf numFmtId="179" fontId="9" fillId="4" borderId="0" xfId="1" applyNumberFormat="1" applyFont="1" applyFill="1" applyAlignment="1">
      <alignment vertical="center" wrapText="1"/>
    </xf>
    <xf numFmtId="43" fontId="8" fillId="0" borderId="0" xfId="2" applyFont="1" applyAlignment="1"/>
    <xf numFmtId="180" fontId="8" fillId="0" borderId="0" xfId="2" applyNumberFormat="1" applyFont="1" applyAlignment="1"/>
    <xf numFmtId="180" fontId="9" fillId="0" borderId="0" xfId="2" applyNumberFormat="1" applyFont="1" applyAlignment="1"/>
    <xf numFmtId="180" fontId="9" fillId="0" borderId="0" xfId="2" applyNumberFormat="1" applyFont="1" applyAlignment="1">
      <alignment vertical="center"/>
    </xf>
    <xf numFmtId="180" fontId="9" fillId="0" borderId="0" xfId="2" applyNumberFormat="1" applyFont="1" applyAlignment="1">
      <alignment horizontal="center" vertical="center"/>
    </xf>
    <xf numFmtId="177" fontId="8" fillId="0" borderId="0" xfId="2" applyNumberFormat="1" applyFont="1" applyAlignment="1"/>
    <xf numFmtId="43" fontId="8" fillId="0" borderId="0" xfId="2" applyFont="1" applyAlignment="1">
      <alignment vertical="center" wrapText="1"/>
    </xf>
    <xf numFmtId="43" fontId="8" fillId="0" borderId="0" xfId="0" applyNumberFormat="1" applyFont="1"/>
    <xf numFmtId="176" fontId="8" fillId="0" borderId="0" xfId="2" applyNumberFormat="1" applyFont="1" applyAlignment="1">
      <alignment vertical="center" wrapText="1"/>
    </xf>
    <xf numFmtId="0" fontId="15" fillId="0" borderId="0" xfId="0" applyFont="1"/>
    <xf numFmtId="0" fontId="0" fillId="6" borderId="0" xfId="0" applyFill="1" applyAlignment="1">
      <alignment vertical="center"/>
    </xf>
    <xf numFmtId="176" fontId="9" fillId="0" borderId="0" xfId="2" applyNumberFormat="1" applyFont="1" applyAlignment="1"/>
    <xf numFmtId="176" fontId="8" fillId="0" borderId="0" xfId="2" applyNumberFormat="1" applyFont="1" applyAlignment="1"/>
    <xf numFmtId="0" fontId="16" fillId="0" borderId="0" xfId="0" applyFont="1"/>
    <xf numFmtId="0" fontId="17" fillId="0" borderId="0" xfId="0" applyFont="1"/>
    <xf numFmtId="177" fontId="18" fillId="0" borderId="0" xfId="0" applyNumberFormat="1" applyFont="1"/>
    <xf numFmtId="0" fontId="19" fillId="0" borderId="0" xfId="0" applyFont="1"/>
    <xf numFmtId="49" fontId="20" fillId="0" borderId="0" xfId="0" applyNumberFormat="1" applyFont="1" applyAlignment="1">
      <alignment vertical="center"/>
    </xf>
    <xf numFmtId="178" fontId="21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10" fillId="0" borderId="0" xfId="0" applyFont="1" applyAlignment="1">
      <alignment horizontal="center" vertical="center" textRotation="255"/>
    </xf>
    <xf numFmtId="0" fontId="11" fillId="0" borderId="0" xfId="0" applyFont="1" applyAlignment="1">
      <alignment horizontal="center" vertical="center" textRotation="255"/>
    </xf>
    <xf numFmtId="0" fontId="15" fillId="3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213D-D278-4C81-A349-19F6F1A9609A}">
  <dimension ref="A1:X37"/>
  <sheetViews>
    <sheetView showGridLines="0" tabSelected="1" view="pageBreakPreview" zoomScale="55" zoomScaleNormal="79" zoomScaleSheetLayoutView="55" workbookViewId="0">
      <selection activeCell="T18" sqref="T18"/>
    </sheetView>
  </sheetViews>
  <sheetFormatPr defaultColWidth="16.5" defaultRowHeight="16.2"/>
  <cols>
    <col min="1" max="1" width="5.75" style="8" customWidth="1"/>
    <col min="2" max="2" width="18.625" style="8" customWidth="1"/>
    <col min="3" max="3" width="13.125" style="8" customWidth="1"/>
    <col min="4" max="4" width="15.625" style="8" customWidth="1"/>
    <col min="5" max="5" width="18.625" style="8" customWidth="1"/>
    <col min="6" max="6" width="14.5" style="8" customWidth="1"/>
    <col min="7" max="7" width="17.125" style="8" customWidth="1"/>
    <col min="8" max="10" width="16.5" style="8"/>
    <col min="11" max="13" width="10.625" style="8" customWidth="1"/>
    <col min="14" max="14" width="8.75" style="8" customWidth="1"/>
    <col min="15" max="16384" width="16.5" style="8"/>
  </cols>
  <sheetData>
    <row r="1" spans="1:24" s="47" customFormat="1" ht="29.4" customHeight="1">
      <c r="A1" s="62" t="s">
        <v>31</v>
      </c>
      <c r="B1" s="62"/>
      <c r="C1" s="62"/>
      <c r="D1" s="62"/>
      <c r="E1" s="62"/>
      <c r="F1" s="62"/>
      <c r="G1" s="62"/>
      <c r="H1" s="62"/>
      <c r="I1" s="62"/>
      <c r="J1" s="62"/>
      <c r="N1" s="63" t="s">
        <v>28</v>
      </c>
      <c r="O1" s="63"/>
      <c r="P1" s="63"/>
      <c r="Q1" s="63"/>
      <c r="R1" s="63"/>
      <c r="S1" s="63"/>
      <c r="T1" s="63"/>
      <c r="U1" s="63"/>
      <c r="V1" s="63"/>
      <c r="W1" s="63"/>
    </row>
    <row r="2" spans="1:24" s="9" customFormat="1" ht="19.95" customHeight="1">
      <c r="B2" s="10" t="s">
        <v>4</v>
      </c>
      <c r="C2" s="51" t="s">
        <v>41</v>
      </c>
      <c r="D2" s="1"/>
      <c r="E2" s="10" t="s">
        <v>7</v>
      </c>
      <c r="F2" s="11" t="s">
        <v>43</v>
      </c>
      <c r="O2" s="10" t="s">
        <v>4</v>
      </c>
      <c r="P2" s="1" t="str">
        <f>C2</f>
        <v>3-044027-001SN-0</v>
      </c>
      <c r="Q2" s="1"/>
      <c r="R2" s="10" t="s">
        <v>7</v>
      </c>
      <c r="S2" s="1">
        <v>100</v>
      </c>
      <c r="T2" s="52"/>
      <c r="U2" s="23"/>
    </row>
    <row r="3" spans="1:24" s="9" customFormat="1" ht="19.95" customHeight="1">
      <c r="B3" s="10" t="s">
        <v>3</v>
      </c>
      <c r="C3" s="11" t="s">
        <v>42</v>
      </c>
      <c r="D3" s="1"/>
      <c r="E3" s="10" t="s">
        <v>12</v>
      </c>
      <c r="F3" s="1" t="s">
        <v>38</v>
      </c>
      <c r="O3" s="10" t="s">
        <v>3</v>
      </c>
      <c r="P3" s="1"/>
      <c r="Q3" s="1"/>
      <c r="R3" s="10" t="s">
        <v>12</v>
      </c>
      <c r="S3" s="48" t="str">
        <f>F3</f>
        <v>2C1</v>
      </c>
    </row>
    <row r="4" spans="1:24" s="9" customFormat="1" ht="19.95" customHeight="1">
      <c r="C4" s="3"/>
      <c r="D4" s="6"/>
      <c r="F4" s="6"/>
      <c r="P4" s="3"/>
      <c r="Q4" s="6"/>
      <c r="S4" s="6"/>
    </row>
    <row r="5" spans="1:24" s="9" customFormat="1" ht="19.95" customHeight="1">
      <c r="B5" s="12" t="s">
        <v>22</v>
      </c>
      <c r="C5" s="5">
        <v>172</v>
      </c>
      <c r="D5" s="6"/>
      <c r="H5" s="13" t="s">
        <v>14</v>
      </c>
      <c r="I5" s="14">
        <f>SUM(C9:C13)</f>
        <v>2958</v>
      </c>
      <c r="J5" s="15">
        <f>I5/I8</f>
        <v>8.813034949433797E-2</v>
      </c>
      <c r="O5" s="34" t="s">
        <v>22</v>
      </c>
      <c r="P5" s="6">
        <v>171</v>
      </c>
      <c r="Q5" s="6"/>
      <c r="U5" s="13" t="s">
        <v>14</v>
      </c>
      <c r="V5" s="14">
        <f>SUM(P9:P13)</f>
        <v>2958</v>
      </c>
      <c r="W5" s="15">
        <f>V5/V8</f>
        <v>8.8752788956095369E-2</v>
      </c>
    </row>
    <row r="6" spans="1:24" s="9" customFormat="1" ht="19.95" customHeight="1">
      <c r="B6" s="12" t="s">
        <v>8</v>
      </c>
      <c r="C6" s="5">
        <v>165</v>
      </c>
      <c r="D6" s="7">
        <f>C6/C5</f>
        <v>0.95930232558139539</v>
      </c>
      <c r="H6" s="13" t="s">
        <v>15</v>
      </c>
      <c r="I6" s="16">
        <f>SUMIFS(H16:H30,C16:C30,"*廠內*")</f>
        <v>30605.919999999998</v>
      </c>
      <c r="J6" s="15">
        <f>I6/I8</f>
        <v>0.91186965050566204</v>
      </c>
      <c r="O6" s="12" t="s">
        <v>8</v>
      </c>
      <c r="P6" s="6">
        <f>P5*(1-Q6)</f>
        <v>164.16</v>
      </c>
      <c r="Q6" s="37">
        <v>0.04</v>
      </c>
      <c r="U6" s="13" t="s">
        <v>15</v>
      </c>
      <c r="V6" s="16">
        <f>SUMIFS(U16:U30,P16:P30,"*廠內*")</f>
        <v>30370.53012048193</v>
      </c>
      <c r="W6" s="15">
        <f>V6/V8</f>
        <v>0.91124721104390471</v>
      </c>
    </row>
    <row r="7" spans="1:24" s="9" customFormat="1" ht="19.95" customHeight="1">
      <c r="B7" s="12" t="s">
        <v>9</v>
      </c>
      <c r="C7" s="5">
        <f>C5-C6</f>
        <v>7</v>
      </c>
      <c r="D7" s="7">
        <f>C7/C5</f>
        <v>4.0697674418604654E-2</v>
      </c>
      <c r="H7" s="13" t="s">
        <v>16</v>
      </c>
      <c r="I7" s="16">
        <f>SUMIFS(H16:H30,C16:C30,"*託外*")+SUMIF(C16:C30,"*託外*",I16:I30)</f>
        <v>0</v>
      </c>
      <c r="J7" s="15">
        <f>I7/I8</f>
        <v>0</v>
      </c>
      <c r="O7" s="12" t="s">
        <v>9</v>
      </c>
      <c r="P7" s="5">
        <f>P5-P6</f>
        <v>6.8400000000000034</v>
      </c>
      <c r="Q7" s="7"/>
      <c r="U7" s="13" t="s">
        <v>16</v>
      </c>
      <c r="V7" s="8">
        <f>SUMIFS(U16:U30,P16:P30,"*託外*")+SUMIF(P16:P30,"*託外*",V16:V30)</f>
        <v>0</v>
      </c>
      <c r="W7" s="15"/>
    </row>
    <row r="8" spans="1:24" s="9" customFormat="1" ht="33.6" customHeight="1">
      <c r="B8" s="6"/>
      <c r="C8" s="6"/>
      <c r="H8" s="13" t="s">
        <v>17</v>
      </c>
      <c r="I8" s="4">
        <f>SUM(I5:I7)</f>
        <v>33563.919999999998</v>
      </c>
      <c r="O8" s="6"/>
      <c r="P8" s="6"/>
      <c r="U8" s="13" t="s">
        <v>17</v>
      </c>
      <c r="V8" s="2">
        <f>SUM(V5:V7)</f>
        <v>33328.530120481926</v>
      </c>
      <c r="X8" s="58" t="s">
        <v>60</v>
      </c>
    </row>
    <row r="9" spans="1:24" s="9" customFormat="1" ht="16.5" customHeight="1">
      <c r="A9" s="60" t="s">
        <v>25</v>
      </c>
      <c r="B9" s="12" t="s">
        <v>10</v>
      </c>
      <c r="C9" s="5">
        <v>1370</v>
      </c>
      <c r="D9" s="17" t="s">
        <v>56</v>
      </c>
      <c r="E9" s="6"/>
      <c r="H9" s="13" t="s">
        <v>18</v>
      </c>
      <c r="I9" s="18">
        <f>I8/C6</f>
        <v>203.41769696969695</v>
      </c>
      <c r="K9" s="19"/>
      <c r="N9" s="60" t="s">
        <v>25</v>
      </c>
      <c r="O9" s="12" t="s">
        <v>10</v>
      </c>
      <c r="P9" s="6">
        <v>1370</v>
      </c>
      <c r="Q9" s="1" t="s">
        <v>59</v>
      </c>
      <c r="R9" s="6"/>
      <c r="U9" s="13" t="s">
        <v>18</v>
      </c>
      <c r="V9" s="21">
        <f>V8/P6</f>
        <v>203.02467178656144</v>
      </c>
      <c r="W9" s="1"/>
      <c r="X9" s="59">
        <v>79.81</v>
      </c>
    </row>
    <row r="10" spans="1:24" s="9" customFormat="1" ht="16.5" customHeight="1">
      <c r="A10" s="61"/>
      <c r="B10" s="12" t="s">
        <v>23</v>
      </c>
      <c r="C10" s="5"/>
      <c r="D10" s="17"/>
      <c r="E10" s="6"/>
      <c r="H10" s="22" t="s">
        <v>27</v>
      </c>
      <c r="I10" s="23">
        <v>143.66999999999999</v>
      </c>
      <c r="J10" s="24">
        <f>(I10-I9)/I10</f>
        <v>-0.4158675921883272</v>
      </c>
      <c r="K10" s="19"/>
      <c r="N10" s="61"/>
      <c r="O10" s="12" t="s">
        <v>23</v>
      </c>
      <c r="P10" s="6">
        <v>0</v>
      </c>
      <c r="Q10" s="1"/>
      <c r="R10" s="6"/>
      <c r="U10" s="10" t="s">
        <v>27</v>
      </c>
      <c r="V10" s="9">
        <f>I10</f>
        <v>143.66999999999999</v>
      </c>
      <c r="W10" s="24">
        <f>(V10-V9)/V10</f>
        <v>-0.41313198153101871</v>
      </c>
    </row>
    <row r="11" spans="1:24" s="9" customFormat="1" ht="16.5" customHeight="1">
      <c r="A11" s="61"/>
      <c r="B11" s="12" t="s">
        <v>24</v>
      </c>
      <c r="C11" s="5"/>
      <c r="D11" s="17"/>
      <c r="E11" s="6"/>
      <c r="H11" s="25" t="s">
        <v>19</v>
      </c>
      <c r="I11" s="26">
        <f>I9/(1-J11)</f>
        <v>254.27212121212116</v>
      </c>
      <c r="J11" s="27">
        <v>0.2</v>
      </c>
      <c r="K11" s="19"/>
      <c r="N11" s="61"/>
      <c r="O11" s="12" t="s">
        <v>24</v>
      </c>
      <c r="P11" s="6">
        <v>0</v>
      </c>
      <c r="Q11" s="1"/>
      <c r="R11" s="6"/>
      <c r="U11" s="25" t="s">
        <v>19</v>
      </c>
      <c r="V11" s="28">
        <f>V9/(1-W11)</f>
        <v>253.78083973320179</v>
      </c>
      <c r="W11" s="27">
        <v>0.2</v>
      </c>
    </row>
    <row r="12" spans="1:24" s="9" customFormat="1" ht="16.5" customHeight="1">
      <c r="A12" s="61"/>
      <c r="B12" s="12" t="s">
        <v>13</v>
      </c>
      <c r="C12" s="5">
        <v>1588</v>
      </c>
      <c r="D12" s="17"/>
      <c r="E12" s="6"/>
      <c r="I12" s="12"/>
      <c r="K12" s="19"/>
      <c r="N12" s="61"/>
      <c r="O12" s="12" t="s">
        <v>13</v>
      </c>
      <c r="P12" s="6">
        <v>1588</v>
      </c>
      <c r="Q12" s="1"/>
      <c r="R12" s="6"/>
    </row>
    <row r="13" spans="1:24" s="9" customFormat="1" ht="16.5" customHeight="1">
      <c r="A13" s="61"/>
      <c r="B13" s="12" t="s">
        <v>11</v>
      </c>
      <c r="C13" s="5"/>
      <c r="D13" s="17" t="s">
        <v>32</v>
      </c>
      <c r="E13" s="6"/>
      <c r="I13" s="12"/>
      <c r="K13" s="19"/>
      <c r="N13" s="61"/>
      <c r="O13" s="12" t="s">
        <v>11</v>
      </c>
      <c r="P13" s="6">
        <v>0</v>
      </c>
      <c r="Q13" s="1" t="str">
        <f>D13</f>
        <v>多顆氣泡袋</v>
      </c>
      <c r="R13" s="6"/>
      <c r="V13" s="12"/>
    </row>
    <row r="15" spans="1:24" ht="32.4">
      <c r="A15" s="10" t="s">
        <v>2</v>
      </c>
      <c r="B15" s="20" t="s">
        <v>0</v>
      </c>
      <c r="C15" s="35" t="s">
        <v>29</v>
      </c>
      <c r="D15" s="20" t="s">
        <v>20</v>
      </c>
      <c r="E15" s="20" t="s">
        <v>21</v>
      </c>
      <c r="F15" s="20" t="s">
        <v>30</v>
      </c>
      <c r="G15" s="20" t="s">
        <v>1</v>
      </c>
      <c r="H15" s="20" t="s">
        <v>5</v>
      </c>
      <c r="I15" s="20" t="s">
        <v>6</v>
      </c>
      <c r="J15" s="20" t="s">
        <v>26</v>
      </c>
      <c r="N15" s="10" t="s">
        <v>2</v>
      </c>
      <c r="O15" s="20" t="s">
        <v>0</v>
      </c>
      <c r="P15" s="35" t="s">
        <v>29</v>
      </c>
      <c r="Q15" s="20" t="s">
        <v>20</v>
      </c>
      <c r="R15" s="20" t="s">
        <v>21</v>
      </c>
      <c r="S15" s="20" t="s">
        <v>30</v>
      </c>
      <c r="T15" s="20" t="s">
        <v>1</v>
      </c>
      <c r="U15" s="20" t="s">
        <v>5</v>
      </c>
      <c r="V15" s="20" t="s">
        <v>6</v>
      </c>
      <c r="W15" s="20" t="s">
        <v>26</v>
      </c>
    </row>
    <row r="16" spans="1:24">
      <c r="A16" s="8">
        <v>1</v>
      </c>
      <c r="B16" s="29" t="s">
        <v>36</v>
      </c>
      <c r="C16" s="8" t="s">
        <v>35</v>
      </c>
      <c r="D16" s="23">
        <v>172</v>
      </c>
      <c r="E16" s="23">
        <v>166</v>
      </c>
      <c r="F16" s="33">
        <v>23.59</v>
      </c>
      <c r="G16" s="44">
        <v>750</v>
      </c>
      <c r="H16" s="5">
        <f>F16*G16</f>
        <v>17692.5</v>
      </c>
      <c r="I16" s="23"/>
      <c r="J16" s="32">
        <f>H16/I6</f>
        <v>0.57807443788652657</v>
      </c>
      <c r="K16" s="54" t="s">
        <v>40</v>
      </c>
      <c r="N16" s="8">
        <v>1</v>
      </c>
      <c r="O16" s="29" t="str">
        <f>B16</f>
        <v>校車1</v>
      </c>
      <c r="P16" s="8" t="str">
        <f>C16</f>
        <v>廠內</v>
      </c>
      <c r="Q16" s="49">
        <f>P5</f>
        <v>171</v>
      </c>
      <c r="R16" s="40"/>
      <c r="S16" s="43">
        <v>16</v>
      </c>
      <c r="T16" s="46">
        <v>950</v>
      </c>
      <c r="U16" s="46">
        <f>S16*T16</f>
        <v>15200</v>
      </c>
      <c r="V16" s="38"/>
      <c r="W16" s="19">
        <f>U16/V6</f>
        <v>0.50048517229368672</v>
      </c>
      <c r="X16" s="8" t="s">
        <v>57</v>
      </c>
    </row>
    <row r="17" spans="1:24">
      <c r="A17" s="8">
        <v>2</v>
      </c>
      <c r="B17" s="29" t="s">
        <v>37</v>
      </c>
      <c r="C17" s="8" t="s">
        <v>35</v>
      </c>
      <c r="D17" s="23">
        <v>166</v>
      </c>
      <c r="E17" s="23">
        <v>166</v>
      </c>
      <c r="F17" s="53">
        <v>16.43</v>
      </c>
      <c r="G17" s="44">
        <v>750</v>
      </c>
      <c r="H17" s="5">
        <f t="shared" ref="H17:H30" si="0">F17*G17</f>
        <v>12322.5</v>
      </c>
      <c r="I17" s="23"/>
      <c r="J17" s="32">
        <f>H17/I6</f>
        <v>0.40261818628552909</v>
      </c>
      <c r="K17" s="54" t="s">
        <v>39</v>
      </c>
      <c r="N17" s="8">
        <v>2</v>
      </c>
      <c r="O17" s="29" t="str">
        <f t="shared" ref="O17:O30" si="1">B17</f>
        <v>車床1</v>
      </c>
      <c r="P17" s="8" t="str">
        <f t="shared" ref="P17:P30" si="2">C17</f>
        <v>廠內</v>
      </c>
      <c r="Q17" s="49">
        <f>$Q$16</f>
        <v>171</v>
      </c>
      <c r="R17" s="40"/>
      <c r="S17" s="43">
        <v>16</v>
      </c>
      <c r="T17" s="46">
        <v>900</v>
      </c>
      <c r="U17" s="46">
        <f t="shared" ref="U17:U30" si="3">S17*T17</f>
        <v>14400</v>
      </c>
      <c r="V17" s="38"/>
      <c r="W17" s="19">
        <f>U17/V6</f>
        <v>0.47414384743612425</v>
      </c>
      <c r="X17" s="8" t="s">
        <v>58</v>
      </c>
    </row>
    <row r="18" spans="1:24">
      <c r="A18" s="8">
        <v>3</v>
      </c>
      <c r="B18" s="29" t="s">
        <v>33</v>
      </c>
      <c r="C18" s="8" t="s">
        <v>35</v>
      </c>
      <c r="D18" s="23">
        <v>166</v>
      </c>
      <c r="E18" s="23">
        <v>166</v>
      </c>
      <c r="F18" s="33">
        <v>0.77</v>
      </c>
      <c r="G18" s="44">
        <v>316</v>
      </c>
      <c r="H18" s="5">
        <f t="shared" si="0"/>
        <v>243.32</v>
      </c>
      <c r="I18" s="23"/>
      <c r="J18" s="32">
        <f>H18/I6</f>
        <v>7.950095929153576E-3</v>
      </c>
      <c r="N18" s="8">
        <v>3</v>
      </c>
      <c r="O18" s="29" t="str">
        <f t="shared" si="1"/>
        <v>自動清洗1</v>
      </c>
      <c r="P18" s="8" t="str">
        <f t="shared" si="2"/>
        <v>廠內</v>
      </c>
      <c r="Q18" s="49">
        <f t="shared" ref="Q18:Q30" si="4">$Q$16</f>
        <v>171</v>
      </c>
      <c r="R18" s="40"/>
      <c r="S18" s="43">
        <f t="shared" ref="S18:S30" si="5">(F18/D18)*Q18</f>
        <v>0.79319277108433728</v>
      </c>
      <c r="T18" s="46">
        <v>400</v>
      </c>
      <c r="U18" s="46">
        <f t="shared" si="3"/>
        <v>317.2771084337349</v>
      </c>
      <c r="V18" s="38"/>
      <c r="W18" s="19">
        <f>U18/V6</f>
        <v>1.0446874228901351E-2</v>
      </c>
    </row>
    <row r="19" spans="1:24">
      <c r="A19" s="8">
        <v>4</v>
      </c>
      <c r="B19" s="29" t="s">
        <v>34</v>
      </c>
      <c r="C19" s="8" t="s">
        <v>35</v>
      </c>
      <c r="D19" s="23">
        <v>166</v>
      </c>
      <c r="E19" s="23">
        <v>165</v>
      </c>
      <c r="F19" s="33">
        <v>1.1000000000000001</v>
      </c>
      <c r="G19" s="44">
        <v>316</v>
      </c>
      <c r="H19" s="5">
        <f t="shared" si="0"/>
        <v>347.6</v>
      </c>
      <c r="I19" s="23"/>
      <c r="J19" s="32">
        <f>H19/I6</f>
        <v>1.1357279898790824E-2</v>
      </c>
      <c r="N19" s="8">
        <v>4</v>
      </c>
      <c r="O19" s="29" t="str">
        <f t="shared" si="1"/>
        <v>包裝1</v>
      </c>
      <c r="P19" s="8" t="str">
        <f t="shared" si="2"/>
        <v>廠內</v>
      </c>
      <c r="Q19" s="49">
        <f t="shared" si="4"/>
        <v>171</v>
      </c>
      <c r="R19" s="40"/>
      <c r="S19" s="43">
        <f t="shared" si="5"/>
        <v>1.133132530120482</v>
      </c>
      <c r="T19" s="46">
        <v>400</v>
      </c>
      <c r="U19" s="46">
        <f t="shared" si="3"/>
        <v>453.25301204819277</v>
      </c>
      <c r="V19" s="39"/>
      <c r="W19" s="19">
        <f>U19/V6</f>
        <v>1.4924106041287645E-2</v>
      </c>
    </row>
    <row r="20" spans="1:24">
      <c r="A20" s="8">
        <v>5</v>
      </c>
      <c r="B20" s="29"/>
      <c r="D20" s="23"/>
      <c r="E20" s="23"/>
      <c r="F20" s="33"/>
      <c r="G20" s="44"/>
      <c r="H20" s="5">
        <f t="shared" si="0"/>
        <v>0</v>
      </c>
      <c r="I20" s="23"/>
      <c r="J20" s="32">
        <f>H20/I6</f>
        <v>0</v>
      </c>
      <c r="N20" s="8">
        <v>5</v>
      </c>
      <c r="O20" s="29">
        <f t="shared" si="1"/>
        <v>0</v>
      </c>
      <c r="P20" s="8">
        <f t="shared" si="2"/>
        <v>0</v>
      </c>
      <c r="Q20" s="49">
        <f t="shared" si="4"/>
        <v>171</v>
      </c>
      <c r="R20" s="40"/>
      <c r="S20" s="43" t="e">
        <f t="shared" si="5"/>
        <v>#DIV/0!</v>
      </c>
      <c r="T20" s="46">
        <f t="shared" ref="T20:T30" si="6">G20</f>
        <v>0</v>
      </c>
      <c r="U20" s="46" t="e">
        <f t="shared" si="3"/>
        <v>#DIV/0!</v>
      </c>
      <c r="V20" s="39"/>
      <c r="W20" s="19" t="e">
        <f>U20/V6</f>
        <v>#DIV/0!</v>
      </c>
    </row>
    <row r="21" spans="1:24">
      <c r="A21" s="8">
        <v>6</v>
      </c>
      <c r="B21" s="29"/>
      <c r="D21" s="1"/>
      <c r="E21" s="1"/>
      <c r="F21" s="33"/>
      <c r="G21" s="44"/>
      <c r="H21" s="5">
        <f t="shared" si="0"/>
        <v>0</v>
      </c>
      <c r="I21" s="23"/>
      <c r="J21" s="32">
        <f>H21/I6</f>
        <v>0</v>
      </c>
      <c r="N21" s="8">
        <v>6</v>
      </c>
      <c r="O21" s="29">
        <f t="shared" si="1"/>
        <v>0</v>
      </c>
      <c r="P21" s="8">
        <f t="shared" si="2"/>
        <v>0</v>
      </c>
      <c r="Q21" s="49">
        <f t="shared" si="4"/>
        <v>171</v>
      </c>
      <c r="R21" s="41"/>
      <c r="S21" s="43" t="e">
        <f t="shared" si="5"/>
        <v>#DIV/0!</v>
      </c>
      <c r="T21" s="46">
        <f t="shared" si="6"/>
        <v>0</v>
      </c>
      <c r="U21" s="46" t="e">
        <f t="shared" si="3"/>
        <v>#DIV/0!</v>
      </c>
      <c r="V21" s="39"/>
      <c r="W21" s="19" t="e">
        <f>U21/V7</f>
        <v>#DIV/0!</v>
      </c>
    </row>
    <row r="22" spans="1:24">
      <c r="A22" s="8">
        <v>7</v>
      </c>
      <c r="B22" s="29"/>
      <c r="F22" s="31"/>
      <c r="G22" s="45"/>
      <c r="H22" s="5">
        <f t="shared" si="0"/>
        <v>0</v>
      </c>
      <c r="J22" s="32">
        <f>H22/I6</f>
        <v>0</v>
      </c>
      <c r="N22" s="8">
        <v>7</v>
      </c>
      <c r="O22" s="29">
        <f t="shared" si="1"/>
        <v>0</v>
      </c>
      <c r="P22" s="8">
        <f t="shared" si="2"/>
        <v>0</v>
      </c>
      <c r="Q22" s="49">
        <f t="shared" si="4"/>
        <v>171</v>
      </c>
      <c r="R22" s="40"/>
      <c r="S22" s="43" t="e">
        <f t="shared" si="5"/>
        <v>#DIV/0!</v>
      </c>
      <c r="T22" s="46">
        <f t="shared" si="6"/>
        <v>0</v>
      </c>
      <c r="U22" s="46" t="e">
        <f t="shared" si="3"/>
        <v>#DIV/0!</v>
      </c>
      <c r="V22" s="38"/>
      <c r="W22" s="19" t="e">
        <f>U22/V6</f>
        <v>#DIV/0!</v>
      </c>
    </row>
    <row r="23" spans="1:24">
      <c r="A23" s="8">
        <v>8</v>
      </c>
      <c r="B23" s="36"/>
      <c r="F23" s="31"/>
      <c r="G23" s="45"/>
      <c r="H23" s="5">
        <f t="shared" si="0"/>
        <v>0</v>
      </c>
      <c r="J23" s="32">
        <f>H23/I6</f>
        <v>0</v>
      </c>
      <c r="N23" s="8">
        <v>8</v>
      </c>
      <c r="O23" s="29">
        <f t="shared" si="1"/>
        <v>0</v>
      </c>
      <c r="P23" s="8">
        <f t="shared" si="2"/>
        <v>0</v>
      </c>
      <c r="Q23" s="49">
        <f t="shared" si="4"/>
        <v>171</v>
      </c>
      <c r="R23" s="42"/>
      <c r="S23" s="43" t="e">
        <f t="shared" si="5"/>
        <v>#DIV/0!</v>
      </c>
      <c r="T23" s="46">
        <f t="shared" si="6"/>
        <v>0</v>
      </c>
      <c r="U23" s="46" t="e">
        <f t="shared" si="3"/>
        <v>#DIV/0!</v>
      </c>
      <c r="V23" s="38"/>
      <c r="W23" s="19" t="e">
        <f>U23/V6</f>
        <v>#DIV/0!</v>
      </c>
    </row>
    <row r="24" spans="1:24">
      <c r="A24" s="8">
        <v>9</v>
      </c>
      <c r="B24" s="29"/>
      <c r="F24" s="31"/>
      <c r="G24" s="45"/>
      <c r="H24" s="5">
        <f t="shared" si="0"/>
        <v>0</v>
      </c>
      <c r="J24" s="32">
        <f>H24/I6</f>
        <v>0</v>
      </c>
      <c r="N24" s="8">
        <v>9</v>
      </c>
      <c r="O24" s="29">
        <f t="shared" si="1"/>
        <v>0</v>
      </c>
      <c r="P24" s="8">
        <f t="shared" si="2"/>
        <v>0</v>
      </c>
      <c r="Q24" s="49">
        <f t="shared" si="4"/>
        <v>171</v>
      </c>
      <c r="R24" s="41"/>
      <c r="S24" s="43" t="e">
        <f t="shared" si="5"/>
        <v>#DIV/0!</v>
      </c>
      <c r="T24" s="46">
        <f t="shared" si="6"/>
        <v>0</v>
      </c>
      <c r="U24" s="46" t="e">
        <f t="shared" si="3"/>
        <v>#DIV/0!</v>
      </c>
      <c r="V24" s="38"/>
      <c r="W24" s="19" t="e">
        <f>U24/V6</f>
        <v>#DIV/0!</v>
      </c>
    </row>
    <row r="25" spans="1:24">
      <c r="A25" s="8">
        <v>10</v>
      </c>
      <c r="B25" s="29"/>
      <c r="F25" s="31"/>
      <c r="G25" s="45"/>
      <c r="H25" s="5">
        <f t="shared" si="0"/>
        <v>0</v>
      </c>
      <c r="J25" s="32">
        <f>H25/I6</f>
        <v>0</v>
      </c>
      <c r="N25" s="8">
        <v>10</v>
      </c>
      <c r="O25" s="29">
        <f t="shared" si="1"/>
        <v>0</v>
      </c>
      <c r="P25" s="8">
        <f t="shared" si="2"/>
        <v>0</v>
      </c>
      <c r="Q25" s="49">
        <f t="shared" si="4"/>
        <v>171</v>
      </c>
      <c r="R25" s="41"/>
      <c r="S25" s="43" t="e">
        <f t="shared" si="5"/>
        <v>#DIV/0!</v>
      </c>
      <c r="T25" s="46">
        <f t="shared" si="6"/>
        <v>0</v>
      </c>
      <c r="U25" s="46" t="e">
        <f t="shared" si="3"/>
        <v>#DIV/0!</v>
      </c>
      <c r="V25" s="38"/>
      <c r="W25" s="19" t="e">
        <f>U25/V6</f>
        <v>#DIV/0!</v>
      </c>
    </row>
    <row r="26" spans="1:24">
      <c r="A26" s="8">
        <v>11</v>
      </c>
      <c r="B26" s="29"/>
      <c r="F26" s="31"/>
      <c r="G26" s="45"/>
      <c r="H26" s="5">
        <f t="shared" si="0"/>
        <v>0</v>
      </c>
      <c r="J26" s="32">
        <f>H26/I6</f>
        <v>0</v>
      </c>
      <c r="N26" s="8">
        <v>11</v>
      </c>
      <c r="O26" s="29">
        <f t="shared" si="1"/>
        <v>0</v>
      </c>
      <c r="P26" s="8">
        <f t="shared" si="2"/>
        <v>0</v>
      </c>
      <c r="Q26" s="49">
        <f t="shared" si="4"/>
        <v>171</v>
      </c>
      <c r="R26" s="41"/>
      <c r="S26" s="43" t="e">
        <f t="shared" si="5"/>
        <v>#DIV/0!</v>
      </c>
      <c r="T26" s="46">
        <f t="shared" si="6"/>
        <v>0</v>
      </c>
      <c r="U26" s="46" t="e">
        <f t="shared" si="3"/>
        <v>#DIV/0!</v>
      </c>
      <c r="V26" s="38"/>
      <c r="W26" s="19" t="e">
        <f>U26/V6</f>
        <v>#DIV/0!</v>
      </c>
    </row>
    <row r="27" spans="1:24">
      <c r="A27" s="8">
        <v>12</v>
      </c>
      <c r="B27" s="29"/>
      <c r="F27" s="31"/>
      <c r="G27" s="45"/>
      <c r="H27" s="5">
        <f t="shared" si="0"/>
        <v>0</v>
      </c>
      <c r="J27" s="32">
        <f>H27/I6</f>
        <v>0</v>
      </c>
      <c r="N27" s="8">
        <v>12</v>
      </c>
      <c r="O27" s="29">
        <f t="shared" si="1"/>
        <v>0</v>
      </c>
      <c r="P27" s="8">
        <f t="shared" si="2"/>
        <v>0</v>
      </c>
      <c r="Q27" s="49">
        <f t="shared" si="4"/>
        <v>171</v>
      </c>
      <c r="R27" s="40"/>
      <c r="S27" s="43" t="e">
        <f t="shared" si="5"/>
        <v>#DIV/0!</v>
      </c>
      <c r="T27" s="46">
        <f t="shared" si="6"/>
        <v>0</v>
      </c>
      <c r="U27" s="46" t="e">
        <f t="shared" si="3"/>
        <v>#DIV/0!</v>
      </c>
      <c r="V27" s="38"/>
      <c r="W27" s="19" t="e">
        <f>U27/V6</f>
        <v>#DIV/0!</v>
      </c>
    </row>
    <row r="28" spans="1:24">
      <c r="A28" s="8">
        <v>13</v>
      </c>
      <c r="B28" s="29"/>
      <c r="F28" s="31"/>
      <c r="G28" s="45"/>
      <c r="H28" s="5">
        <f t="shared" si="0"/>
        <v>0</v>
      </c>
      <c r="J28" s="32">
        <f>H28/I6</f>
        <v>0</v>
      </c>
      <c r="N28" s="8">
        <v>13</v>
      </c>
      <c r="O28" s="29">
        <f t="shared" si="1"/>
        <v>0</v>
      </c>
      <c r="P28" s="8">
        <f t="shared" si="2"/>
        <v>0</v>
      </c>
      <c r="Q28" s="49">
        <f t="shared" si="4"/>
        <v>171</v>
      </c>
      <c r="R28" s="40"/>
      <c r="S28" s="43" t="e">
        <f t="shared" si="5"/>
        <v>#DIV/0!</v>
      </c>
      <c r="T28" s="46">
        <f t="shared" si="6"/>
        <v>0</v>
      </c>
      <c r="U28" s="46" t="e">
        <f t="shared" si="3"/>
        <v>#DIV/0!</v>
      </c>
      <c r="V28" s="38"/>
      <c r="W28" s="19" t="e">
        <f>U28/V6</f>
        <v>#DIV/0!</v>
      </c>
    </row>
    <row r="29" spans="1:24">
      <c r="A29" s="8">
        <v>14</v>
      </c>
      <c r="F29" s="31"/>
      <c r="H29" s="5">
        <f t="shared" si="0"/>
        <v>0</v>
      </c>
      <c r="J29" s="32">
        <f>H29/I6</f>
        <v>0</v>
      </c>
      <c r="N29" s="8">
        <v>14</v>
      </c>
      <c r="O29" s="29">
        <f t="shared" si="1"/>
        <v>0</v>
      </c>
      <c r="P29" s="8">
        <f t="shared" si="2"/>
        <v>0</v>
      </c>
      <c r="Q29" s="50">
        <f t="shared" si="4"/>
        <v>171</v>
      </c>
      <c r="R29" s="38"/>
      <c r="S29" s="43" t="e">
        <f t="shared" si="5"/>
        <v>#DIV/0!</v>
      </c>
      <c r="T29" s="46">
        <f t="shared" si="6"/>
        <v>0</v>
      </c>
      <c r="U29" s="46" t="e">
        <f t="shared" si="3"/>
        <v>#DIV/0!</v>
      </c>
      <c r="V29" s="38"/>
      <c r="W29" s="19" t="e">
        <f t="shared" ref="W29:W30" si="7">U29/V7</f>
        <v>#DIV/0!</v>
      </c>
    </row>
    <row r="30" spans="1:24">
      <c r="A30" s="8">
        <v>15</v>
      </c>
      <c r="F30" s="31"/>
      <c r="H30" s="5">
        <f t="shared" si="0"/>
        <v>0</v>
      </c>
      <c r="J30" s="32">
        <f>H30/I6</f>
        <v>0</v>
      </c>
      <c r="N30" s="8">
        <v>15</v>
      </c>
      <c r="O30" s="29">
        <f t="shared" si="1"/>
        <v>0</v>
      </c>
      <c r="P30" s="8">
        <f t="shared" si="2"/>
        <v>0</v>
      </c>
      <c r="Q30" s="14">
        <f t="shared" si="4"/>
        <v>171</v>
      </c>
      <c r="S30" s="43" t="e">
        <f t="shared" si="5"/>
        <v>#DIV/0!</v>
      </c>
      <c r="T30" s="46">
        <f t="shared" si="6"/>
        <v>0</v>
      </c>
      <c r="U30" s="30" t="e">
        <f t="shared" si="3"/>
        <v>#DIV/0!</v>
      </c>
      <c r="W30" s="19" t="e">
        <f t="shared" si="7"/>
        <v>#DIV/0!</v>
      </c>
    </row>
    <row r="31" spans="1:24">
      <c r="H31" s="5"/>
      <c r="O31" s="29"/>
      <c r="U31" s="30"/>
    </row>
    <row r="32" spans="1:24">
      <c r="B32" s="57" t="s">
        <v>55</v>
      </c>
      <c r="C32" s="55" t="s">
        <v>44</v>
      </c>
      <c r="D32" s="56">
        <v>1</v>
      </c>
      <c r="E32" s="8">
        <v>191</v>
      </c>
      <c r="H32" s="30"/>
    </row>
    <row r="33" spans="2:8">
      <c r="B33" s="57" t="s">
        <v>45</v>
      </c>
      <c r="C33" s="55" t="s">
        <v>46</v>
      </c>
      <c r="D33" s="56">
        <v>2</v>
      </c>
      <c r="E33" s="8">
        <v>105</v>
      </c>
      <c r="H33" s="30"/>
    </row>
    <row r="34" spans="2:8">
      <c r="B34" s="57" t="s">
        <v>47</v>
      </c>
      <c r="C34" s="55" t="s">
        <v>48</v>
      </c>
      <c r="D34" s="56">
        <v>1</v>
      </c>
      <c r="E34" s="8">
        <v>343</v>
      </c>
      <c r="H34" s="30"/>
    </row>
    <row r="35" spans="2:8">
      <c r="B35" s="57" t="s">
        <v>49</v>
      </c>
      <c r="C35" s="55" t="s">
        <v>50</v>
      </c>
      <c r="D35" s="56">
        <v>1</v>
      </c>
      <c r="E35" s="8">
        <v>178</v>
      </c>
      <c r="H35" s="30"/>
    </row>
    <row r="36" spans="2:8">
      <c r="B36" s="57" t="s">
        <v>51</v>
      </c>
      <c r="C36" s="55" t="s">
        <v>52</v>
      </c>
      <c r="D36" s="56">
        <v>1</v>
      </c>
      <c r="E36" s="8">
        <v>514</v>
      </c>
    </row>
    <row r="37" spans="2:8">
      <c r="B37" s="57" t="s">
        <v>53</v>
      </c>
      <c r="C37" s="55" t="s">
        <v>54</v>
      </c>
      <c r="D37" s="56">
        <v>1</v>
      </c>
      <c r="E37" s="8">
        <v>152</v>
      </c>
    </row>
  </sheetData>
  <mergeCells count="4">
    <mergeCell ref="A9:A13"/>
    <mergeCell ref="N9:N13"/>
    <mergeCell ref="A1:J1"/>
    <mergeCell ref="N1:W1"/>
  </mergeCells>
  <phoneticPr fontId="1" type="noConversion"/>
  <pageMargins left="0.7" right="0.7" top="0.75" bottom="0.75" header="0.3" footer="0.3"/>
  <pageSetup paperSize="9" scale="2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20251219</vt:lpstr>
      <vt:lpstr>'20251219'!Print_Area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林玉蕉a</dc:creator>
  <cp:lastModifiedBy>銷售公用</cp:lastModifiedBy>
  <cp:lastPrinted>2025-12-23T09:49:16Z</cp:lastPrinted>
  <dcterms:created xsi:type="dcterms:W3CDTF">2025-08-12T07:32:33Z</dcterms:created>
  <dcterms:modified xsi:type="dcterms:W3CDTF">2025-12-23T09:49:19Z</dcterms:modified>
</cp:coreProperties>
</file>
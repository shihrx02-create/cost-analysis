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in-server2016\業務系統\原始報價\6.成本分析\"/>
    </mc:Choice>
  </mc:AlternateContent>
  <xr:revisionPtr revIDLastSave="0" documentId="13_ncr:1_{81EAF4E9-CAC1-4A91-AFA9-17D167D28EF5}" xr6:coauthVersionLast="47" xr6:coauthVersionMax="47" xr10:uidLastSave="{00000000-0000-0000-0000-000000000000}"/>
  <bookViews>
    <workbookView xWindow="384" yWindow="120" windowWidth="22080" windowHeight="12240" xr2:uid="{00000000-000D-0000-FFFF-FFFF00000000}"/>
  </bookViews>
  <sheets>
    <sheet name="11410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7" i="1" l="1"/>
  <c r="S21" i="1"/>
  <c r="Q19" i="1"/>
  <c r="Q18" i="1"/>
  <c r="Q17" i="1"/>
  <c r="Q16" i="1"/>
  <c r="U16" i="1" s="1"/>
  <c r="P9" i="1"/>
  <c r="C9" i="1"/>
  <c r="H17" i="1"/>
  <c r="H18" i="1"/>
  <c r="H16" i="1"/>
  <c r="S17" i="1"/>
  <c r="U17" i="1" s="1"/>
  <c r="P19" i="1"/>
  <c r="V20" i="1" l="1"/>
  <c r="V21" i="1"/>
  <c r="V22" i="1"/>
  <c r="V23" i="1"/>
  <c r="V24" i="1"/>
  <c r="V25" i="1"/>
  <c r="V26" i="1"/>
  <c r="V27" i="1"/>
  <c r="V28" i="1"/>
  <c r="V29" i="1"/>
  <c r="V19" i="1"/>
  <c r="T21" i="1" l="1"/>
  <c r="T24" i="1"/>
  <c r="T27" i="1"/>
  <c r="S19" i="1"/>
  <c r="U19" i="1" s="1"/>
  <c r="Q13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19" i="1"/>
  <c r="P6" i="1"/>
  <c r="V10" i="1"/>
  <c r="H20" i="1"/>
  <c r="H21" i="1"/>
  <c r="I7" i="1" s="1"/>
  <c r="H22" i="1"/>
  <c r="H23" i="1"/>
  <c r="H24" i="1"/>
  <c r="H25" i="1"/>
  <c r="H26" i="1"/>
  <c r="H27" i="1"/>
  <c r="H28" i="1"/>
  <c r="H29" i="1"/>
  <c r="H19" i="1"/>
  <c r="I6" i="1" s="1"/>
  <c r="S18" i="1" l="1"/>
  <c r="U18" i="1" s="1"/>
  <c r="J21" i="1"/>
  <c r="J24" i="1"/>
  <c r="J27" i="1"/>
  <c r="J22" i="1"/>
  <c r="Q24" i="1"/>
  <c r="S24" i="1" s="1"/>
  <c r="U24" i="1" s="1"/>
  <c r="Q23" i="1"/>
  <c r="S23" i="1" s="1"/>
  <c r="U23" i="1" s="1"/>
  <c r="Q22" i="1"/>
  <c r="S22" i="1" s="1"/>
  <c r="U22" i="1" s="1"/>
  <c r="Q21" i="1"/>
  <c r="Q20" i="1"/>
  <c r="S20" i="1" s="1"/>
  <c r="U20" i="1" s="1"/>
  <c r="V6" i="1" s="1"/>
  <c r="Q29" i="1"/>
  <c r="S29" i="1" s="1"/>
  <c r="U29" i="1" s="1"/>
  <c r="Q28" i="1"/>
  <c r="S28" i="1" s="1"/>
  <c r="U28" i="1" s="1"/>
  <c r="Q27" i="1"/>
  <c r="U27" i="1" s="1"/>
  <c r="Q26" i="1"/>
  <c r="S26" i="1" s="1"/>
  <c r="U26" i="1" s="1"/>
  <c r="Q25" i="1"/>
  <c r="S25" i="1" s="1"/>
  <c r="U25" i="1" s="1"/>
  <c r="J29" i="1"/>
  <c r="J26" i="1"/>
  <c r="J25" i="1"/>
  <c r="J28" i="1"/>
  <c r="P2" i="1"/>
  <c r="C7" i="1"/>
  <c r="P7" i="1"/>
  <c r="V5" i="1"/>
  <c r="I5" i="1"/>
  <c r="U21" i="1" l="1"/>
  <c r="V7" i="1" s="1"/>
  <c r="W22" i="1"/>
  <c r="J19" i="1"/>
  <c r="W21" i="1" l="1"/>
  <c r="W27" i="1"/>
  <c r="W24" i="1"/>
  <c r="W23" i="1"/>
  <c r="W29" i="1"/>
  <c r="W28" i="1"/>
  <c r="W26" i="1"/>
  <c r="W25" i="1"/>
  <c r="W20" i="1"/>
  <c r="W19" i="1"/>
  <c r="V8" i="1"/>
  <c r="J20" i="1"/>
  <c r="J23" i="1"/>
  <c r="I8" i="1"/>
  <c r="D6" i="1"/>
  <c r="D7" i="1"/>
  <c r="V9" i="1" l="1"/>
  <c r="V11" i="1" s="1"/>
  <c r="W6" i="1"/>
  <c r="W5" i="1"/>
  <c r="J7" i="1"/>
  <c r="J5" i="1"/>
  <c r="J6" i="1"/>
  <c r="I9" i="1"/>
  <c r="J10" i="1" s="1"/>
  <c r="W10" i="1" l="1"/>
  <c r="I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林玉蕉a</author>
  </authors>
  <commentList>
    <comment ref="I10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來源:訂單</t>
        </r>
      </text>
    </comment>
    <comment ref="V10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來源：訂單</t>
        </r>
      </text>
    </comment>
    <comment ref="B11" authorId="0" shapeId="0" xr:uid="{00000000-0006-0000-0000-000003000000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淨重</t>
        </r>
        <r>
          <rPr>
            <sz val="9"/>
            <color indexed="81"/>
            <rFont val="Tahoma"/>
            <family val="2"/>
          </rPr>
          <t xml:space="preserve">g
</t>
        </r>
        <r>
          <rPr>
            <sz val="9"/>
            <color indexed="81"/>
            <rFont val="細明體"/>
            <family val="3"/>
            <charset val="136"/>
          </rPr>
          <t>材料</t>
        </r>
        <r>
          <rPr>
            <sz val="9"/>
            <color indexed="81"/>
            <rFont val="Tahoma"/>
            <family val="2"/>
          </rPr>
          <t xml:space="preserve">g
</t>
        </r>
        <r>
          <rPr>
            <sz val="9"/>
            <color indexed="81"/>
            <rFont val="細明體"/>
            <family val="3"/>
            <charset val="136"/>
          </rPr>
          <t>銅粉</t>
        </r>
        <r>
          <rPr>
            <sz val="9"/>
            <color indexed="81"/>
            <rFont val="Tahoma"/>
            <family val="2"/>
          </rPr>
          <t>g</t>
        </r>
      </text>
    </comment>
    <comment ref="P11" authorId="0" shapeId="0" xr:uid="{00000000-0006-0000-0000-000004000000}">
      <text>
        <r>
          <rPr>
            <b/>
            <sz val="9"/>
            <color indexed="81"/>
            <rFont val="細明體"/>
            <family val="3"/>
            <charset val="136"/>
          </rPr>
          <t>林玉蕉</t>
        </r>
        <r>
          <rPr>
            <b/>
            <sz val="9"/>
            <color indexed="81"/>
            <rFont val="Tahoma"/>
            <family val="2"/>
          </rPr>
          <t>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淨重g
材料g
銅粉g</t>
        </r>
      </text>
    </comment>
  </commentList>
</comments>
</file>

<file path=xl/sharedStrings.xml><?xml version="1.0" encoding="utf-8"?>
<sst xmlns="http://schemas.openxmlformats.org/spreadsheetml/2006/main" count="109" uniqueCount="58">
  <si>
    <t>製程</t>
  </si>
  <si>
    <t>單價（元/時）</t>
  </si>
  <si>
    <t>工序</t>
    <phoneticPr fontId="1" type="noConversion"/>
  </si>
  <si>
    <t>工單：</t>
    <phoneticPr fontId="1" type="noConversion"/>
  </si>
  <si>
    <t>產品：</t>
    <phoneticPr fontId="1" type="noConversion"/>
  </si>
  <si>
    <t>加工費(元)</t>
    <phoneticPr fontId="1" type="noConversion"/>
  </si>
  <si>
    <t>運費(元)</t>
    <phoneticPr fontId="1" type="noConversion"/>
  </si>
  <si>
    <t>訂單：</t>
    <phoneticPr fontId="1" type="noConversion"/>
  </si>
  <si>
    <t>良品數量：</t>
    <phoneticPr fontId="1" type="noConversion"/>
  </si>
  <si>
    <t>廢品數量：</t>
    <phoneticPr fontId="1" type="noConversion"/>
  </si>
  <si>
    <t>原料金額：</t>
    <phoneticPr fontId="1" type="noConversion"/>
  </si>
  <si>
    <t>包材金額：</t>
    <phoneticPr fontId="1" type="noConversion"/>
  </si>
  <si>
    <t>生產設備：</t>
    <phoneticPr fontId="1" type="noConversion"/>
  </si>
  <si>
    <t>刀具1金額：</t>
    <phoneticPr fontId="1" type="noConversion"/>
  </si>
  <si>
    <t>投入成本：</t>
    <phoneticPr fontId="1" type="noConversion"/>
  </si>
  <si>
    <t>加工成本：</t>
    <phoneticPr fontId="1" type="noConversion"/>
  </si>
  <si>
    <t>外包成本：</t>
    <phoneticPr fontId="1" type="noConversion"/>
  </si>
  <si>
    <t>總成本：</t>
    <phoneticPr fontId="1" type="noConversion"/>
  </si>
  <si>
    <t>單顆成本：</t>
    <phoneticPr fontId="1" type="noConversion"/>
  </si>
  <si>
    <t>建議售價(毛利潤20%)：</t>
    <phoneticPr fontId="1" type="noConversion"/>
  </si>
  <si>
    <t>投入數量</t>
    <phoneticPr fontId="1" type="noConversion"/>
  </si>
  <si>
    <t>良品數量</t>
    <phoneticPr fontId="1" type="noConversion"/>
  </si>
  <si>
    <t>總投入數量：</t>
    <phoneticPr fontId="1" type="noConversion"/>
  </si>
  <si>
    <t>原料加工金額：</t>
    <phoneticPr fontId="1" type="noConversion"/>
  </si>
  <si>
    <t>銅粉回饋金額：</t>
    <phoneticPr fontId="1" type="noConversion"/>
  </si>
  <si>
    <t>投入成本</t>
    <phoneticPr fontId="1" type="noConversion"/>
  </si>
  <si>
    <t>工序佔比</t>
    <phoneticPr fontId="1" type="noConversion"/>
  </si>
  <si>
    <t>目前售價：</t>
    <phoneticPr fontId="1" type="noConversion"/>
  </si>
  <si>
    <t>【評 估】</t>
    <phoneticPr fontId="1" type="noConversion"/>
  </si>
  <si>
    <t>性質</t>
    <phoneticPr fontId="1" type="noConversion"/>
  </si>
  <si>
    <t>工時/良品數</t>
    <phoneticPr fontId="1" type="noConversion"/>
  </si>
  <si>
    <t>【最近一筆狀況】</t>
    <phoneticPr fontId="1" type="noConversion"/>
  </si>
  <si>
    <t>3-001044-002TS-1</t>
    <phoneticPr fontId="1" type="noConversion"/>
  </si>
  <si>
    <t>風切防鏽3</t>
  </si>
  <si>
    <t>清點數量3</t>
  </si>
  <si>
    <t>高週波</t>
  </si>
  <si>
    <t>風切防鏽4</t>
  </si>
  <si>
    <t>清點數量4</t>
  </si>
  <si>
    <t>染黑</t>
  </si>
  <si>
    <t>風切防鏽5</t>
  </si>
  <si>
    <t>清點數量5</t>
  </si>
  <si>
    <t>巡牙</t>
  </si>
  <si>
    <t>風切防鏽6</t>
  </si>
  <si>
    <t>包裝1</t>
  </si>
  <si>
    <t>廠內</t>
    <phoneticPr fontId="1" type="noConversion"/>
  </si>
  <si>
    <t>託外</t>
    <phoneticPr fontId="1" type="noConversion"/>
  </si>
  <si>
    <t>藍字尚未回貨先暫估</t>
    <phoneticPr fontId="1" type="noConversion"/>
  </si>
  <si>
    <t>藍字尚未回貨先暫估,淨重0.0247kg</t>
    <phoneticPr fontId="1" type="noConversion"/>
  </si>
  <si>
    <t>M512-25060208</t>
    <phoneticPr fontId="1" type="noConversion"/>
  </si>
  <si>
    <t>221-20250516006</t>
    <phoneticPr fontId="1" type="noConversion"/>
  </si>
  <si>
    <t>多顆氣泡袋</t>
    <phoneticPr fontId="1" type="noConversion"/>
  </si>
  <si>
    <t>明年基本工資調整,採用時薪196</t>
    <phoneticPr fontId="1" type="noConversion"/>
  </si>
  <si>
    <t>校車</t>
    <phoneticPr fontId="1" type="noConversion"/>
  </si>
  <si>
    <t>車床</t>
    <phoneticPr fontId="1" type="noConversion"/>
  </si>
  <si>
    <t>熱處理</t>
    <phoneticPr fontId="1" type="noConversion"/>
  </si>
  <si>
    <t>廠內</t>
    <phoneticPr fontId="1" type="noConversion"/>
  </si>
  <si>
    <t>自製</t>
    <phoneticPr fontId="1" type="noConversion"/>
  </si>
  <si>
    <t>託外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</si>
</sst>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_);[Red]\(0\)"/>
    <numFmt numFmtId="177" formatCode="0.00_);[Red]\(0.00\)"/>
    <numFmt numFmtId="178" formatCode="#,##0_ "/>
    <numFmt numFmtId="179" formatCode="0.0%"/>
    <numFmt numFmtId="180" formatCode="_-* #,##0_-;\-* #,##0_-;_-* &quot;-&quot;??_-;_-@_-"/>
  </numFmts>
  <fonts count="1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Microsoft JhengHei"/>
      <family val="1"/>
    </font>
    <font>
      <b/>
      <sz val="12"/>
      <color theme="1"/>
      <name val="新細明體-ExtB"/>
      <family val="1"/>
      <charset val="136"/>
    </font>
    <font>
      <sz val="12"/>
      <color theme="1"/>
      <name val="Microsoft JhengHei"/>
      <family val="2"/>
    </font>
    <font>
      <b/>
      <sz val="11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rgb="FF00B0F0"/>
      <name val="新細明體"/>
      <family val="2"/>
      <scheme val="minor"/>
    </font>
    <font>
      <sz val="12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</cellStyleXfs>
  <cellXfs count="57">
    <xf numFmtId="0" fontId="0" fillId="0" borderId="0" xfId="0"/>
    <xf numFmtId="0" fontId="2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0" fontId="8" fillId="0" borderId="0" xfId="0" applyFont="1"/>
    <xf numFmtId="0" fontId="2" fillId="0" borderId="0" xfId="0" applyFont="1"/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center"/>
    </xf>
    <xf numFmtId="176" fontId="8" fillId="0" borderId="0" xfId="0" applyNumberFormat="1" applyFont="1"/>
    <xf numFmtId="9" fontId="8" fillId="0" borderId="0" xfId="1" applyFont="1" applyAlignment="1">
      <alignment horizontal="center"/>
    </xf>
    <xf numFmtId="178" fontId="8" fillId="0" borderId="0" xfId="0" applyNumberFormat="1" applyFont="1"/>
    <xf numFmtId="0" fontId="2" fillId="0" borderId="0" xfId="0" applyFont="1" applyAlignment="1">
      <alignment vertical="center" wrapText="1"/>
    </xf>
    <xf numFmtId="2" fontId="8" fillId="3" borderId="0" xfId="0" applyNumberFormat="1" applyFont="1" applyFill="1"/>
    <xf numFmtId="9" fontId="8" fillId="0" borderId="0" xfId="1" applyFont="1" applyAlignment="1"/>
    <xf numFmtId="0" fontId="2" fillId="0" borderId="0" xfId="0" applyFont="1" applyAlignment="1">
      <alignment horizontal="center" vertical="center" wrapText="1"/>
    </xf>
    <xf numFmtId="2" fontId="8" fillId="5" borderId="0" xfId="0" applyNumberFormat="1" applyFont="1" applyFill="1"/>
    <xf numFmtId="0" fontId="2" fillId="0" borderId="0" xfId="0" applyFont="1" applyAlignment="1">
      <alignment horizontal="right"/>
    </xf>
    <xf numFmtId="0" fontId="9" fillId="0" borderId="0" xfId="0" applyFont="1"/>
    <xf numFmtId="9" fontId="2" fillId="0" borderId="0" xfId="1" applyFont="1" applyAlignment="1"/>
    <xf numFmtId="0" fontId="2" fillId="2" borderId="0" xfId="0" applyFont="1" applyFill="1" applyAlignment="1">
      <alignment horizontal="right"/>
    </xf>
    <xf numFmtId="2" fontId="2" fillId="3" borderId="0" xfId="0" applyNumberFormat="1" applyFont="1" applyFill="1"/>
    <xf numFmtId="9" fontId="2" fillId="4" borderId="0" xfId="1" applyFont="1" applyFill="1" applyAlignment="1"/>
    <xf numFmtId="2" fontId="2" fillId="5" borderId="0" xfId="0" applyNumberFormat="1" applyFont="1" applyFill="1"/>
    <xf numFmtId="0" fontId="12" fillId="0" borderId="0" xfId="0" applyFont="1"/>
    <xf numFmtId="176" fontId="8" fillId="0" borderId="0" xfId="0" applyNumberFormat="1" applyFont="1" applyAlignment="1">
      <alignment vertical="center" wrapText="1"/>
    </xf>
    <xf numFmtId="177" fontId="8" fillId="0" borderId="0" xfId="0" applyNumberFormat="1" applyFont="1"/>
    <xf numFmtId="9" fontId="9" fillId="0" borderId="0" xfId="0" applyNumberFormat="1" applyFont="1"/>
    <xf numFmtId="0" fontId="1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179" fontId="9" fillId="4" borderId="0" xfId="1" applyNumberFormat="1" applyFont="1" applyFill="1" applyAlignment="1">
      <alignment vertical="center" wrapText="1"/>
    </xf>
    <xf numFmtId="180" fontId="8" fillId="0" borderId="0" xfId="2" applyNumberFormat="1" applyFont="1" applyAlignment="1"/>
    <xf numFmtId="180" fontId="9" fillId="0" borderId="0" xfId="2" applyNumberFormat="1" applyFont="1" applyAlignment="1"/>
    <xf numFmtId="180" fontId="9" fillId="0" borderId="0" xfId="2" applyNumberFormat="1" applyFont="1" applyAlignment="1">
      <alignment vertical="center"/>
    </xf>
    <xf numFmtId="180" fontId="9" fillId="0" borderId="0" xfId="2" applyNumberFormat="1" applyFont="1" applyAlignment="1">
      <alignment horizontal="center" vertical="center"/>
    </xf>
    <xf numFmtId="177" fontId="8" fillId="0" borderId="0" xfId="2" applyNumberFormat="1" applyFont="1" applyAlignment="1"/>
    <xf numFmtId="43" fontId="8" fillId="0" borderId="0" xfId="2" applyFont="1" applyAlignment="1">
      <alignment vertical="center" wrapText="1"/>
    </xf>
    <xf numFmtId="43" fontId="8" fillId="0" borderId="0" xfId="0" applyNumberFormat="1" applyFont="1"/>
    <xf numFmtId="176" fontId="8" fillId="0" borderId="0" xfId="2" applyNumberFormat="1" applyFont="1" applyAlignment="1">
      <alignment vertical="center" wrapText="1"/>
    </xf>
    <xf numFmtId="0" fontId="14" fillId="0" borderId="0" xfId="0" applyFont="1"/>
    <xf numFmtId="0" fontId="0" fillId="6" borderId="0" xfId="0" applyFill="1" applyAlignment="1">
      <alignment vertical="center"/>
    </xf>
    <xf numFmtId="176" fontId="9" fillId="0" borderId="0" xfId="2" applyNumberFormat="1" applyFont="1" applyAlignment="1"/>
    <xf numFmtId="0" fontId="15" fillId="0" borderId="0" xfId="0" applyFont="1"/>
    <xf numFmtId="177" fontId="16" fillId="0" borderId="0" xfId="0" applyNumberFormat="1" applyFont="1"/>
    <xf numFmtId="177" fontId="8" fillId="0" borderId="0" xfId="2" applyNumberFormat="1" applyFont="1" applyAlignment="1">
      <alignment vertical="center" wrapText="1"/>
    </xf>
    <xf numFmtId="1" fontId="8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textRotation="255"/>
    </xf>
    <xf numFmtId="0" fontId="11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 wrapText="1"/>
    </xf>
    <xf numFmtId="0" fontId="14" fillId="3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</cellXfs>
  <cellStyles count="3">
    <cellStyle name="一般" xfId="0" builtinId="0"/>
    <cellStyle name="千分位" xfId="2" builtinId="3"/>
    <cellStyle name="百分比" xfId="1" builtinId="5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showGridLines="0" tabSelected="1" topLeftCell="C1" zoomScale="70" zoomScaleNormal="70" workbookViewId="0">
      <selection activeCell="O29" sqref="O29"/>
    </sheetView>
  </sheetViews>
  <sheetFormatPr defaultColWidth="16.5" defaultRowHeight="16.2"/>
  <cols>
    <col min="1" max="1" width="5.75" style="8" customWidth="1"/>
    <col min="2" max="2" width="18.625" style="8" customWidth="1"/>
    <col min="3" max="3" width="13.125" style="8" customWidth="1"/>
    <col min="4" max="4" width="15.625" style="8" customWidth="1"/>
    <col min="5" max="5" width="18.625" style="8" customWidth="1"/>
    <col min="6" max="6" width="14.5" style="8" customWidth="1"/>
    <col min="7" max="7" width="17.125" style="8" customWidth="1"/>
    <col min="8" max="10" width="16.5" style="8"/>
    <col min="11" max="13" width="10.625" style="8" customWidth="1"/>
    <col min="14" max="14" width="8.75" style="8" customWidth="1"/>
    <col min="15" max="16384" width="16.5" style="8"/>
  </cols>
  <sheetData>
    <row r="1" spans="1:23" s="44" customFormat="1" ht="29.4" customHeight="1">
      <c r="A1" s="55" t="s">
        <v>31</v>
      </c>
      <c r="B1" s="55"/>
      <c r="C1" s="55"/>
      <c r="D1" s="55"/>
      <c r="E1" s="55"/>
      <c r="F1" s="55"/>
      <c r="G1" s="55"/>
      <c r="H1" s="55"/>
      <c r="I1" s="55"/>
      <c r="J1" s="55"/>
      <c r="N1" s="56" t="s">
        <v>28</v>
      </c>
      <c r="O1" s="56"/>
      <c r="P1" s="56"/>
      <c r="Q1" s="56"/>
      <c r="R1" s="56"/>
      <c r="S1" s="56"/>
      <c r="T1" s="56"/>
      <c r="U1" s="56"/>
      <c r="V1" s="56"/>
      <c r="W1" s="56"/>
    </row>
    <row r="2" spans="1:23" s="9" customFormat="1" ht="19.95" customHeight="1">
      <c r="B2" s="10" t="s">
        <v>4</v>
      </c>
      <c r="C2" s="23" t="s">
        <v>32</v>
      </c>
      <c r="D2" s="1"/>
      <c r="E2" s="10" t="s">
        <v>7</v>
      </c>
      <c r="F2" s="11" t="s">
        <v>49</v>
      </c>
      <c r="O2" s="10" t="s">
        <v>4</v>
      </c>
      <c r="P2" s="1" t="str">
        <f>C2</f>
        <v>3-001044-002TS-1</v>
      </c>
      <c r="Q2" s="1"/>
      <c r="R2" s="10" t="s">
        <v>7</v>
      </c>
      <c r="S2" s="1">
        <v>10000</v>
      </c>
    </row>
    <row r="3" spans="1:23" s="9" customFormat="1" ht="19.95" customHeight="1">
      <c r="B3" s="10" t="s">
        <v>3</v>
      </c>
      <c r="C3" s="11" t="s">
        <v>48</v>
      </c>
      <c r="D3" s="1"/>
      <c r="E3" s="10" t="s">
        <v>12</v>
      </c>
      <c r="F3" s="45" t="s">
        <v>56</v>
      </c>
      <c r="O3" s="10" t="s">
        <v>3</v>
      </c>
      <c r="P3" s="1"/>
      <c r="Q3" s="1"/>
      <c r="R3" s="10" t="s">
        <v>12</v>
      </c>
      <c r="S3" s="45" t="s">
        <v>56</v>
      </c>
    </row>
    <row r="4" spans="1:23" s="9" customFormat="1" ht="19.95" customHeight="1">
      <c r="C4" s="3"/>
      <c r="D4" s="6"/>
      <c r="F4" s="6"/>
      <c r="P4" s="3"/>
      <c r="Q4" s="6"/>
      <c r="S4" s="6"/>
    </row>
    <row r="5" spans="1:23" s="9" customFormat="1" ht="19.95" customHeight="1">
      <c r="B5" s="12" t="s">
        <v>22</v>
      </c>
      <c r="C5" s="5">
        <v>10070</v>
      </c>
      <c r="D5" s="6"/>
      <c r="H5" s="13" t="s">
        <v>14</v>
      </c>
      <c r="I5" s="14">
        <f>SUM(C9:C13)</f>
        <v>35245</v>
      </c>
      <c r="J5" s="15">
        <f>I5/I8</f>
        <v>0.13322295943126342</v>
      </c>
      <c r="O5" s="33" t="s">
        <v>22</v>
      </c>
      <c r="P5" s="6">
        <v>11000</v>
      </c>
      <c r="Q5" s="6"/>
      <c r="U5" s="13" t="s">
        <v>14</v>
      </c>
      <c r="V5" s="14">
        <f>SUM(P9:P13)</f>
        <v>38500</v>
      </c>
      <c r="W5" s="15">
        <f>V5/V8</f>
        <v>0.13342830636163888</v>
      </c>
    </row>
    <row r="6" spans="1:23" s="9" customFormat="1" ht="19.95" customHeight="1">
      <c r="B6" s="12" t="s">
        <v>8</v>
      </c>
      <c r="C6" s="5">
        <v>10069</v>
      </c>
      <c r="D6" s="7">
        <f>C6/C5</f>
        <v>0.99990069513406155</v>
      </c>
      <c r="H6" s="13" t="s">
        <v>15</v>
      </c>
      <c r="I6" s="16">
        <f>SUMIFS(H16:H29,C16:C29,"*廠內*")</f>
        <v>149951.69</v>
      </c>
      <c r="J6" s="15">
        <f>I6/I8</f>
        <v>0.56680402648657657</v>
      </c>
      <c r="O6" s="12" t="s">
        <v>8</v>
      </c>
      <c r="P6" s="6">
        <f>P5*(1-Q6)</f>
        <v>10997.800000000001</v>
      </c>
      <c r="Q6" s="35">
        <v>2.0000000000000001E-4</v>
      </c>
      <c r="U6" s="13" t="s">
        <v>15</v>
      </c>
      <c r="V6" s="16">
        <f>SUMIFS(U16:U29,P16:P29,"*廠內*")</f>
        <v>164773.8274938156</v>
      </c>
      <c r="W6" s="15">
        <f>V6/V8</f>
        <v>0.57105175935648467</v>
      </c>
    </row>
    <row r="7" spans="1:23" s="9" customFormat="1" ht="19.95" customHeight="1">
      <c r="B7" s="12" t="s">
        <v>9</v>
      </c>
      <c r="C7" s="5">
        <f>C5-C6</f>
        <v>1</v>
      </c>
      <c r="D7" s="7">
        <f>C7/C5</f>
        <v>9.9304865938430983E-5</v>
      </c>
      <c r="H7" s="13" t="s">
        <v>16</v>
      </c>
      <c r="I7" s="16">
        <f>SUMIFS(H16:H29,C16:C29,"*託外*")+SUMIF(C16:C29,"*託外*",I16:I29)</f>
        <v>79359.811000000002</v>
      </c>
      <c r="J7" s="15">
        <f>I7/I8</f>
        <v>0.29997301408216009</v>
      </c>
      <c r="O7" s="12" t="s">
        <v>9</v>
      </c>
      <c r="P7" s="5">
        <f>P5-P6</f>
        <v>2.1999999999989086</v>
      </c>
      <c r="Q7" s="7"/>
      <c r="U7" s="13" t="s">
        <v>16</v>
      </c>
      <c r="V7" s="50">
        <f>SUMIFS(U16:U29,P16:P29,"*託外*")+SUMIF(P16:P29,"*託外*",V16:V29)</f>
        <v>85270.642940000005</v>
      </c>
      <c r="W7" s="15"/>
    </row>
    <row r="8" spans="1:23" s="9" customFormat="1" ht="33.6" customHeight="1">
      <c r="B8" s="6"/>
      <c r="C8" s="6"/>
      <c r="H8" s="13" t="s">
        <v>17</v>
      </c>
      <c r="I8" s="4">
        <f>SUM(I5:I7)</f>
        <v>264556.50099999999</v>
      </c>
      <c r="O8" s="6"/>
      <c r="P8" s="6"/>
      <c r="U8" s="13" t="s">
        <v>17</v>
      </c>
      <c r="V8" s="2">
        <f>SUM(V5:V7)</f>
        <v>288544.47043381562</v>
      </c>
    </row>
    <row r="9" spans="1:23" s="9" customFormat="1" ht="16.5" customHeight="1">
      <c r="A9" s="52" t="s">
        <v>25</v>
      </c>
      <c r="B9" s="12" t="s">
        <v>10</v>
      </c>
      <c r="C9" s="5">
        <f>3.5*C5</f>
        <v>35245</v>
      </c>
      <c r="D9" s="17"/>
      <c r="E9" s="6"/>
      <c r="H9" s="13" t="s">
        <v>18</v>
      </c>
      <c r="I9" s="18">
        <f>I8/C6</f>
        <v>26.274357036448503</v>
      </c>
      <c r="K9" s="19"/>
      <c r="N9" s="52" t="s">
        <v>25</v>
      </c>
      <c r="O9" s="12" t="s">
        <v>10</v>
      </c>
      <c r="P9" s="6">
        <f>3.5*P5</f>
        <v>38500</v>
      </c>
      <c r="Q9" s="54"/>
      <c r="R9" s="6"/>
      <c r="U9" s="13" t="s">
        <v>18</v>
      </c>
      <c r="V9" s="21">
        <f>V8/P6</f>
        <v>26.236562806544544</v>
      </c>
    </row>
    <row r="10" spans="1:23" s="9" customFormat="1" ht="16.5" customHeight="1">
      <c r="A10" s="53"/>
      <c r="B10" s="12" t="s">
        <v>23</v>
      </c>
      <c r="C10" s="5"/>
      <c r="D10" s="17"/>
      <c r="E10" s="6"/>
      <c r="H10" s="22" t="s">
        <v>27</v>
      </c>
      <c r="I10" s="23">
        <v>21.792999999999999</v>
      </c>
      <c r="J10" s="24">
        <f>(I10-I9)/I10</f>
        <v>-0.20563286543608059</v>
      </c>
      <c r="K10" s="19"/>
      <c r="N10" s="53"/>
      <c r="O10" s="12" t="s">
        <v>23</v>
      </c>
      <c r="P10" s="6">
        <v>0</v>
      </c>
      <c r="Q10" s="54"/>
      <c r="R10" s="6"/>
      <c r="U10" s="10" t="s">
        <v>27</v>
      </c>
      <c r="V10" s="9">
        <f>I10</f>
        <v>21.792999999999999</v>
      </c>
      <c r="W10" s="24">
        <f>(V10-V9)/V10</f>
        <v>-0.20389862830012137</v>
      </c>
    </row>
    <row r="11" spans="1:23" s="9" customFormat="1" ht="16.5" customHeight="1">
      <c r="A11" s="53"/>
      <c r="B11" s="12" t="s">
        <v>24</v>
      </c>
      <c r="C11" s="5"/>
      <c r="D11" s="17"/>
      <c r="E11" s="6"/>
      <c r="H11" s="25" t="s">
        <v>19</v>
      </c>
      <c r="I11" s="26">
        <f>I9/(1-J11)</f>
        <v>32.84294629556063</v>
      </c>
      <c r="J11" s="27">
        <v>0.2</v>
      </c>
      <c r="K11" s="19"/>
      <c r="N11" s="53"/>
      <c r="O11" s="12" t="s">
        <v>24</v>
      </c>
      <c r="P11" s="6">
        <v>0</v>
      </c>
      <c r="Q11" s="54"/>
      <c r="R11" s="6"/>
      <c r="U11" s="25" t="s">
        <v>19</v>
      </c>
      <c r="V11" s="28">
        <f>V9/(1-W11)</f>
        <v>32.795703508180679</v>
      </c>
      <c r="W11" s="27">
        <v>0.2</v>
      </c>
    </row>
    <row r="12" spans="1:23" s="9" customFormat="1" ht="16.5" customHeight="1">
      <c r="A12" s="53"/>
      <c r="B12" s="12" t="s">
        <v>13</v>
      </c>
      <c r="C12" s="5"/>
      <c r="D12" s="17"/>
      <c r="E12" s="6"/>
      <c r="I12" s="12"/>
      <c r="K12" s="19"/>
      <c r="N12" s="53"/>
      <c r="O12" s="12" t="s">
        <v>13</v>
      </c>
      <c r="P12" s="6"/>
      <c r="Q12" s="1"/>
      <c r="R12" s="6"/>
    </row>
    <row r="13" spans="1:23" s="9" customFormat="1" ht="16.5" customHeight="1">
      <c r="A13" s="53"/>
      <c r="B13" s="12" t="s">
        <v>11</v>
      </c>
      <c r="C13" s="5"/>
      <c r="D13" s="17" t="s">
        <v>50</v>
      </c>
      <c r="E13" s="6"/>
      <c r="I13" s="12"/>
      <c r="K13" s="19"/>
      <c r="N13" s="53"/>
      <c r="O13" s="12" t="s">
        <v>11</v>
      </c>
      <c r="P13" s="6">
        <v>0</v>
      </c>
      <c r="Q13" s="1" t="str">
        <f>D13</f>
        <v>多顆氣泡袋</v>
      </c>
      <c r="R13" s="6"/>
      <c r="V13" s="12"/>
    </row>
    <row r="15" spans="1:23" ht="32.4">
      <c r="A15" s="10" t="s">
        <v>2</v>
      </c>
      <c r="B15" s="20" t="s">
        <v>0</v>
      </c>
      <c r="C15" s="34" t="s">
        <v>29</v>
      </c>
      <c r="D15" s="20" t="s">
        <v>20</v>
      </c>
      <c r="E15" s="20" t="s">
        <v>21</v>
      </c>
      <c r="F15" s="20" t="s">
        <v>30</v>
      </c>
      <c r="G15" s="20" t="s">
        <v>1</v>
      </c>
      <c r="H15" s="20" t="s">
        <v>5</v>
      </c>
      <c r="I15" s="20" t="s">
        <v>6</v>
      </c>
      <c r="J15" s="20" t="s">
        <v>26</v>
      </c>
      <c r="N15" s="10" t="s">
        <v>2</v>
      </c>
      <c r="O15" s="20" t="s">
        <v>0</v>
      </c>
      <c r="P15" s="34" t="s">
        <v>29</v>
      </c>
      <c r="Q15" s="20" t="s">
        <v>20</v>
      </c>
      <c r="R15" s="20" t="s">
        <v>21</v>
      </c>
      <c r="S15" s="20" t="s">
        <v>30</v>
      </c>
      <c r="T15" s="20" t="s">
        <v>1</v>
      </c>
      <c r="U15" s="20" t="s">
        <v>5</v>
      </c>
      <c r="V15" s="20" t="s">
        <v>6</v>
      </c>
      <c r="W15" s="20" t="s">
        <v>26</v>
      </c>
    </row>
    <row r="16" spans="1:23">
      <c r="A16" s="8">
        <v>1</v>
      </c>
      <c r="B16" s="29" t="s">
        <v>52</v>
      </c>
      <c r="C16" s="8" t="s">
        <v>44</v>
      </c>
      <c r="D16" s="51">
        <v>10070</v>
      </c>
      <c r="E16">
        <v>10105</v>
      </c>
      <c r="F16" s="8">
        <v>13.5</v>
      </c>
      <c r="G16" s="8">
        <v>437.5</v>
      </c>
      <c r="H16" s="5">
        <f>F16*G16</f>
        <v>5906.25</v>
      </c>
      <c r="I16" s="51"/>
      <c r="J16" s="51"/>
      <c r="N16" s="8">
        <v>1</v>
      </c>
      <c r="O16" s="29" t="s">
        <v>52</v>
      </c>
      <c r="P16" s="8" t="s">
        <v>55</v>
      </c>
      <c r="Q16" s="46">
        <f>P5</f>
        <v>11000</v>
      </c>
      <c r="R16" s="51"/>
      <c r="S16" s="40">
        <v>13.5</v>
      </c>
      <c r="T16" s="8">
        <v>437.5</v>
      </c>
      <c r="U16" s="43">
        <f t="shared" ref="U16:U18" si="0">S16*T16</f>
        <v>5906.25</v>
      </c>
      <c r="V16" s="51"/>
      <c r="W16" s="51"/>
    </row>
    <row r="17" spans="1:24">
      <c r="A17" s="8">
        <v>2</v>
      </c>
      <c r="B17" s="29" t="s">
        <v>53</v>
      </c>
      <c r="C17" s="8" t="s">
        <v>44</v>
      </c>
      <c r="D17" s="51">
        <v>10070</v>
      </c>
      <c r="E17">
        <v>10105</v>
      </c>
      <c r="F17" s="8">
        <v>316</v>
      </c>
      <c r="G17" s="8">
        <v>437.5</v>
      </c>
      <c r="H17" s="5">
        <f t="shared" ref="H17:H18" si="1">F17*G17</f>
        <v>138250</v>
      </c>
      <c r="I17" s="51"/>
      <c r="J17" s="51"/>
      <c r="N17" s="8">
        <v>2</v>
      </c>
      <c r="O17" s="29" t="s">
        <v>53</v>
      </c>
      <c r="P17" s="8" t="s">
        <v>55</v>
      </c>
      <c r="Q17" s="46">
        <f>P5</f>
        <v>11000</v>
      </c>
      <c r="R17" s="51"/>
      <c r="S17" s="40">
        <f t="shared" ref="S17" si="2">(F17/D17)*Q17</f>
        <v>345.18371400198612</v>
      </c>
      <c r="T17" s="8">
        <v>437.5</v>
      </c>
      <c r="U17" s="43">
        <f t="shared" si="0"/>
        <v>151017.87487586893</v>
      </c>
      <c r="V17" s="51"/>
      <c r="W17" s="51"/>
    </row>
    <row r="18" spans="1:24">
      <c r="A18" s="8">
        <v>3</v>
      </c>
      <c r="B18" s="29" t="s">
        <v>54</v>
      </c>
      <c r="C18" s="8" t="s">
        <v>45</v>
      </c>
      <c r="D18" s="8">
        <v>10070</v>
      </c>
      <c r="E18">
        <v>10105</v>
      </c>
      <c r="F18" s="8">
        <v>10105</v>
      </c>
      <c r="G18" s="8">
        <v>1.65</v>
      </c>
      <c r="H18" s="5">
        <f t="shared" si="1"/>
        <v>16673.25</v>
      </c>
      <c r="N18" s="8">
        <v>3</v>
      </c>
      <c r="O18" s="29" t="s">
        <v>54</v>
      </c>
      <c r="P18" s="8" t="s">
        <v>57</v>
      </c>
      <c r="Q18" s="46">
        <f>P6</f>
        <v>10997.800000000001</v>
      </c>
      <c r="S18" s="40">
        <f>P6</f>
        <v>10997.800000000001</v>
      </c>
      <c r="T18" s="8">
        <v>1.64</v>
      </c>
      <c r="U18" s="43">
        <f t="shared" si="0"/>
        <v>18036.392</v>
      </c>
    </row>
    <row r="19" spans="1:24">
      <c r="A19" s="8">
        <v>1</v>
      </c>
      <c r="B19" t="s">
        <v>33</v>
      </c>
      <c r="C19" s="8" t="s">
        <v>44</v>
      </c>
      <c r="D19">
        <v>10070</v>
      </c>
      <c r="E19">
        <v>10105</v>
      </c>
      <c r="F19">
        <v>1.52</v>
      </c>
      <c r="G19">
        <v>316</v>
      </c>
      <c r="H19" s="5">
        <f>F19*G19</f>
        <v>480.32</v>
      </c>
      <c r="I19" s="23"/>
      <c r="J19" s="32">
        <f>H19/I6</f>
        <v>3.2031649659967154E-3</v>
      </c>
      <c r="N19" s="8">
        <v>4</v>
      </c>
      <c r="O19" s="29" t="str">
        <f t="shared" ref="O19:O29" si="3">B19</f>
        <v>風切防鏽3</v>
      </c>
      <c r="P19" s="8" t="str">
        <f t="shared" ref="P19:P29" si="4">C19</f>
        <v>廠內</v>
      </c>
      <c r="Q19" s="46">
        <f>P6</f>
        <v>10997.800000000001</v>
      </c>
      <c r="R19" s="37"/>
      <c r="S19" s="40">
        <f>(F19/D19)*Q19</f>
        <v>1.6600452830188681</v>
      </c>
      <c r="T19" s="49">
        <v>392</v>
      </c>
      <c r="U19" s="43">
        <f>S19*T19</f>
        <v>650.73775094339635</v>
      </c>
      <c r="V19" s="36">
        <f t="shared" ref="V19:V29" si="5">I19</f>
        <v>0</v>
      </c>
      <c r="W19" s="19">
        <f>U19/V6</f>
        <v>3.9492786011044159E-3</v>
      </c>
      <c r="X19" s="8" t="s">
        <v>51</v>
      </c>
    </row>
    <row r="20" spans="1:24">
      <c r="A20" s="8">
        <v>2</v>
      </c>
      <c r="B20" t="s">
        <v>34</v>
      </c>
      <c r="C20" s="8" t="s">
        <v>44</v>
      </c>
      <c r="D20">
        <v>10105</v>
      </c>
      <c r="E20">
        <v>10104</v>
      </c>
      <c r="F20">
        <v>0.01</v>
      </c>
      <c r="G20">
        <v>316</v>
      </c>
      <c r="H20" s="5">
        <f t="shared" ref="H20:H29" si="6">F20*G20</f>
        <v>3.16</v>
      </c>
      <c r="I20" s="23"/>
      <c r="J20" s="32">
        <f>H20/I6</f>
        <v>2.1073453723662601E-5</v>
      </c>
      <c r="N20" s="8">
        <v>5</v>
      </c>
      <c r="O20" s="29" t="str">
        <f t="shared" si="3"/>
        <v>清點數量3</v>
      </c>
      <c r="P20" s="8" t="str">
        <f t="shared" si="4"/>
        <v>廠內</v>
      </c>
      <c r="Q20" s="46">
        <f t="shared" ref="Q20:Q29" si="7">$Q$19</f>
        <v>10997.800000000001</v>
      </c>
      <c r="R20" s="37"/>
      <c r="S20" s="40">
        <f>(F20/D20)*Q20</f>
        <v>1.0883523008411678E-2</v>
      </c>
      <c r="T20" s="49">
        <v>392</v>
      </c>
      <c r="U20" s="43">
        <f t="shared" ref="U20:U29" si="8">S20*T20</f>
        <v>4.2663410192973776</v>
      </c>
      <c r="V20" s="36">
        <f t="shared" si="5"/>
        <v>0</v>
      </c>
      <c r="W20" s="19">
        <f>U20/V6</f>
        <v>2.589210364405418E-5</v>
      </c>
    </row>
    <row r="21" spans="1:24">
      <c r="A21" s="8">
        <v>3</v>
      </c>
      <c r="B21" t="s">
        <v>35</v>
      </c>
      <c r="C21" s="8" t="s">
        <v>45</v>
      </c>
      <c r="D21">
        <v>10104</v>
      </c>
      <c r="E21">
        <v>10098</v>
      </c>
      <c r="F21">
        <v>10098</v>
      </c>
      <c r="G21">
        <v>4</v>
      </c>
      <c r="H21" s="5">
        <f t="shared" si="6"/>
        <v>40392</v>
      </c>
      <c r="I21" s="23">
        <v>4000</v>
      </c>
      <c r="J21" s="32">
        <f>H21/I7</f>
        <v>0.50897298633939536</v>
      </c>
      <c r="N21" s="8">
        <v>6</v>
      </c>
      <c r="O21" s="29" t="str">
        <f t="shared" si="3"/>
        <v>高週波</v>
      </c>
      <c r="P21" s="8" t="str">
        <f t="shared" si="4"/>
        <v>託外</v>
      </c>
      <c r="Q21" s="46">
        <f t="shared" si="7"/>
        <v>10997.800000000001</v>
      </c>
      <c r="R21" s="37"/>
      <c r="S21" s="40">
        <f>P6</f>
        <v>10997.800000000001</v>
      </c>
      <c r="T21" s="49">
        <f>G21</f>
        <v>4</v>
      </c>
      <c r="U21" s="43">
        <f t="shared" si="8"/>
        <v>43991.200000000004</v>
      </c>
      <c r="V21" s="36">
        <f t="shared" si="5"/>
        <v>4000</v>
      </c>
      <c r="W21" s="19">
        <f>U21/V7</f>
        <v>0.51590088315569582</v>
      </c>
    </row>
    <row r="22" spans="1:24">
      <c r="A22" s="8">
        <v>4</v>
      </c>
      <c r="B22" t="s">
        <v>36</v>
      </c>
      <c r="C22" s="8" t="s">
        <v>44</v>
      </c>
      <c r="D22">
        <v>10098</v>
      </c>
      <c r="E22">
        <v>10071</v>
      </c>
      <c r="F22">
        <v>1.64</v>
      </c>
      <c r="G22">
        <v>316</v>
      </c>
      <c r="H22" s="5">
        <f t="shared" si="6"/>
        <v>518.24</v>
      </c>
      <c r="I22" s="23"/>
      <c r="J22" s="32">
        <f>H22/I6</f>
        <v>3.4560464106806665E-3</v>
      </c>
      <c r="N22" s="8">
        <v>7</v>
      </c>
      <c r="O22" s="29" t="str">
        <f t="shared" si="3"/>
        <v>風切防鏽4</v>
      </c>
      <c r="P22" s="8" t="str">
        <f t="shared" si="4"/>
        <v>廠內</v>
      </c>
      <c r="Q22" s="46">
        <f t="shared" si="7"/>
        <v>10997.800000000001</v>
      </c>
      <c r="R22" s="37"/>
      <c r="S22" s="40">
        <f t="shared" ref="S22:S29" si="9">(F22/D22)*Q22</f>
        <v>1.7861350762527235</v>
      </c>
      <c r="T22" s="49">
        <v>392</v>
      </c>
      <c r="U22" s="43">
        <f t="shared" si="8"/>
        <v>700.16494989106764</v>
      </c>
      <c r="V22" s="36">
        <f t="shared" si="5"/>
        <v>0</v>
      </c>
      <c r="W22" s="19">
        <f>U22/V6</f>
        <v>4.2492485641710707E-3</v>
      </c>
    </row>
    <row r="23" spans="1:24">
      <c r="A23" s="8">
        <v>5</v>
      </c>
      <c r="B23" t="s">
        <v>37</v>
      </c>
      <c r="C23" s="8" t="s">
        <v>44</v>
      </c>
      <c r="D23">
        <v>10071</v>
      </c>
      <c r="E23">
        <v>10070</v>
      </c>
      <c r="F23">
        <v>0.01</v>
      </c>
      <c r="G23">
        <v>316</v>
      </c>
      <c r="H23" s="5">
        <f t="shared" si="6"/>
        <v>3.16</v>
      </c>
      <c r="I23" s="23"/>
      <c r="J23" s="32">
        <f>H23/I6</f>
        <v>2.1073453723662601E-5</v>
      </c>
      <c r="N23" s="8">
        <v>8</v>
      </c>
      <c r="O23" s="29" t="str">
        <f t="shared" si="3"/>
        <v>清點數量4</v>
      </c>
      <c r="P23" s="8" t="str">
        <f t="shared" si="4"/>
        <v>廠內</v>
      </c>
      <c r="Q23" s="46">
        <f t="shared" si="7"/>
        <v>10997.800000000001</v>
      </c>
      <c r="R23" s="37"/>
      <c r="S23" s="40">
        <f t="shared" si="9"/>
        <v>1.0920266110614637E-2</v>
      </c>
      <c r="T23" s="49">
        <v>392</v>
      </c>
      <c r="U23" s="43">
        <f t="shared" si="8"/>
        <v>4.2807443153609377</v>
      </c>
      <c r="V23" s="36">
        <f t="shared" si="5"/>
        <v>0</v>
      </c>
      <c r="W23" s="19">
        <f>U23/V6</f>
        <v>2.5979516167527306E-5</v>
      </c>
    </row>
    <row r="24" spans="1:24">
      <c r="A24" s="8">
        <v>6</v>
      </c>
      <c r="B24" t="s">
        <v>38</v>
      </c>
      <c r="C24" s="8" t="s">
        <v>45</v>
      </c>
      <c r="D24">
        <v>10070</v>
      </c>
      <c r="E24" s="47">
        <v>10070</v>
      </c>
      <c r="F24" s="48">
        <v>248.72900000000001</v>
      </c>
      <c r="G24" s="41">
        <v>9</v>
      </c>
      <c r="H24" s="5">
        <f t="shared" si="6"/>
        <v>2238.5610000000001</v>
      </c>
      <c r="I24" s="23">
        <v>7000</v>
      </c>
      <c r="J24" s="32">
        <f>H24/I7</f>
        <v>2.8207741069343022E-2</v>
      </c>
      <c r="K24" s="8" t="s">
        <v>47</v>
      </c>
      <c r="N24" s="8">
        <v>9</v>
      </c>
      <c r="O24" s="29" t="str">
        <f t="shared" si="3"/>
        <v>染黑</v>
      </c>
      <c r="P24" s="8" t="str">
        <f t="shared" si="4"/>
        <v>託外</v>
      </c>
      <c r="Q24" s="46">
        <f t="shared" si="7"/>
        <v>10997.800000000001</v>
      </c>
      <c r="R24" s="38"/>
      <c r="S24" s="40">
        <f t="shared" si="9"/>
        <v>271.64566000000002</v>
      </c>
      <c r="T24" s="49">
        <f>G24</f>
        <v>9</v>
      </c>
      <c r="U24" s="43">
        <f t="shared" si="8"/>
        <v>2444.8109400000003</v>
      </c>
      <c r="V24" s="36">
        <f t="shared" si="5"/>
        <v>7000</v>
      </c>
      <c r="W24" s="19">
        <f>U24/V7</f>
        <v>2.8671191581377799E-2</v>
      </c>
    </row>
    <row r="25" spans="1:24">
      <c r="A25" s="8">
        <v>7</v>
      </c>
      <c r="B25" t="s">
        <v>39</v>
      </c>
      <c r="C25" s="8" t="s">
        <v>44</v>
      </c>
      <c r="D25" s="47">
        <v>10070</v>
      </c>
      <c r="E25" s="47">
        <v>10070</v>
      </c>
      <c r="F25" s="31">
        <v>1.58</v>
      </c>
      <c r="G25" s="42">
        <v>316</v>
      </c>
      <c r="H25" s="5">
        <f t="shared" si="6"/>
        <v>499.28000000000003</v>
      </c>
      <c r="J25" s="32">
        <f>H25/I6</f>
        <v>3.329605688338691E-3</v>
      </c>
      <c r="K25" s="8" t="s">
        <v>46</v>
      </c>
      <c r="N25" s="8">
        <v>10</v>
      </c>
      <c r="O25" s="29" t="str">
        <f t="shared" si="3"/>
        <v>風切防鏽5</v>
      </c>
      <c r="P25" s="8" t="str">
        <f t="shared" si="4"/>
        <v>廠內</v>
      </c>
      <c r="Q25" s="46">
        <f t="shared" si="7"/>
        <v>10997.800000000001</v>
      </c>
      <c r="R25" s="37"/>
      <c r="S25" s="40">
        <f t="shared" si="9"/>
        <v>1.7255733862959288</v>
      </c>
      <c r="T25" s="49">
        <v>392</v>
      </c>
      <c r="U25" s="43">
        <f t="shared" si="8"/>
        <v>676.42476742800409</v>
      </c>
      <c r="V25" s="36">
        <f t="shared" si="5"/>
        <v>0</v>
      </c>
      <c r="W25" s="19">
        <f>U25/V6</f>
        <v>4.1051711774638001E-3</v>
      </c>
    </row>
    <row r="26" spans="1:24">
      <c r="A26" s="8">
        <v>8</v>
      </c>
      <c r="B26" t="s">
        <v>40</v>
      </c>
      <c r="C26" s="8" t="s">
        <v>44</v>
      </c>
      <c r="D26" s="47">
        <v>10070</v>
      </c>
      <c r="E26" s="47">
        <v>10070</v>
      </c>
      <c r="F26" s="31">
        <v>0.01</v>
      </c>
      <c r="G26" s="42">
        <v>316</v>
      </c>
      <c r="H26" s="5">
        <f t="shared" si="6"/>
        <v>3.16</v>
      </c>
      <c r="J26" s="32">
        <f>H26/I6</f>
        <v>2.1073453723662601E-5</v>
      </c>
      <c r="K26" s="8" t="s">
        <v>46</v>
      </c>
      <c r="N26" s="8">
        <v>11</v>
      </c>
      <c r="O26" s="29" t="str">
        <f t="shared" si="3"/>
        <v>清點數量5</v>
      </c>
      <c r="P26" s="8" t="str">
        <f t="shared" si="4"/>
        <v>廠內</v>
      </c>
      <c r="Q26" s="46">
        <f t="shared" si="7"/>
        <v>10997.800000000001</v>
      </c>
      <c r="R26" s="39"/>
      <c r="S26" s="40">
        <f t="shared" si="9"/>
        <v>1.0921350546176765E-2</v>
      </c>
      <c r="T26" s="49">
        <v>392</v>
      </c>
      <c r="U26" s="43">
        <f t="shared" si="8"/>
        <v>4.2811694141012921</v>
      </c>
      <c r="V26" s="36">
        <f t="shared" si="5"/>
        <v>0</v>
      </c>
      <c r="W26" s="19">
        <f>U26/V6</f>
        <v>2.5982096059897473E-5</v>
      </c>
    </row>
    <row r="27" spans="1:24">
      <c r="A27" s="8">
        <v>9</v>
      </c>
      <c r="B27" t="s">
        <v>41</v>
      </c>
      <c r="C27" s="8" t="s">
        <v>45</v>
      </c>
      <c r="D27" s="47">
        <v>10070</v>
      </c>
      <c r="E27" s="47">
        <v>10070</v>
      </c>
      <c r="F27" s="48">
        <v>10070</v>
      </c>
      <c r="G27" s="42">
        <v>0.8</v>
      </c>
      <c r="H27" s="5">
        <f t="shared" si="6"/>
        <v>8056</v>
      </c>
      <c r="I27" s="8">
        <v>1000</v>
      </c>
      <c r="J27" s="32">
        <f>H27/I7</f>
        <v>0.10151233853114897</v>
      </c>
      <c r="K27" s="8" t="s">
        <v>46</v>
      </c>
      <c r="N27" s="8">
        <v>12</v>
      </c>
      <c r="O27" s="29" t="str">
        <f t="shared" si="3"/>
        <v>巡牙</v>
      </c>
      <c r="P27" s="8" t="str">
        <f t="shared" si="4"/>
        <v>託外</v>
      </c>
      <c r="Q27" s="46">
        <f t="shared" si="7"/>
        <v>10997.800000000001</v>
      </c>
      <c r="R27" s="38"/>
      <c r="S27" s="40">
        <f>P6</f>
        <v>10997.800000000001</v>
      </c>
      <c r="T27" s="49">
        <f>G27</f>
        <v>0.8</v>
      </c>
      <c r="U27" s="43">
        <f t="shared" si="8"/>
        <v>8798.2400000000016</v>
      </c>
      <c r="V27" s="36">
        <f t="shared" si="5"/>
        <v>1000</v>
      </c>
      <c r="W27" s="19">
        <f>U27/V7</f>
        <v>0.10318017663113918</v>
      </c>
    </row>
    <row r="28" spans="1:24">
      <c r="A28" s="8">
        <v>10</v>
      </c>
      <c r="B28" t="s">
        <v>42</v>
      </c>
      <c r="C28" s="8" t="s">
        <v>44</v>
      </c>
      <c r="D28" s="47">
        <v>10070</v>
      </c>
      <c r="E28" s="47">
        <v>10070</v>
      </c>
      <c r="F28" s="31">
        <v>1.58</v>
      </c>
      <c r="G28" s="42">
        <v>316</v>
      </c>
      <c r="H28" s="5">
        <f t="shared" si="6"/>
        <v>499.28000000000003</v>
      </c>
      <c r="J28" s="32">
        <f>H28/I6</f>
        <v>3.329605688338691E-3</v>
      </c>
      <c r="K28" s="8" t="s">
        <v>46</v>
      </c>
      <c r="N28" s="8">
        <v>13</v>
      </c>
      <c r="O28" s="29" t="str">
        <f t="shared" si="3"/>
        <v>風切防鏽6</v>
      </c>
      <c r="P28" s="8" t="str">
        <f t="shared" si="4"/>
        <v>廠內</v>
      </c>
      <c r="Q28" s="46">
        <f t="shared" si="7"/>
        <v>10997.800000000001</v>
      </c>
      <c r="R28" s="38"/>
      <c r="S28" s="40">
        <f t="shared" si="9"/>
        <v>1.7255733862959288</v>
      </c>
      <c r="T28" s="49">
        <v>392</v>
      </c>
      <c r="U28" s="43">
        <f t="shared" si="8"/>
        <v>676.42476742800409</v>
      </c>
      <c r="V28" s="36">
        <f t="shared" si="5"/>
        <v>0</v>
      </c>
      <c r="W28" s="19">
        <f>U28/V6</f>
        <v>4.1051711774638001E-3</v>
      </c>
    </row>
    <row r="29" spans="1:24">
      <c r="A29" s="8">
        <v>11</v>
      </c>
      <c r="B29" t="s">
        <v>43</v>
      </c>
      <c r="C29" s="8" t="s">
        <v>44</v>
      </c>
      <c r="D29" s="47">
        <v>10070</v>
      </c>
      <c r="E29" s="47">
        <v>10069</v>
      </c>
      <c r="F29" s="31">
        <v>11.99</v>
      </c>
      <c r="G29" s="42">
        <v>316</v>
      </c>
      <c r="H29" s="5">
        <f t="shared" si="6"/>
        <v>3788.84</v>
      </c>
      <c r="J29" s="32">
        <f>H29/I6</f>
        <v>2.5267071014671461E-2</v>
      </c>
      <c r="K29" s="8" t="s">
        <v>46</v>
      </c>
      <c r="N29" s="8">
        <v>14</v>
      </c>
      <c r="O29" s="29" t="str">
        <f t="shared" si="3"/>
        <v>包裝1</v>
      </c>
      <c r="P29" s="8" t="str">
        <f t="shared" si="4"/>
        <v>廠內</v>
      </c>
      <c r="Q29" s="46">
        <f t="shared" si="7"/>
        <v>10997.800000000001</v>
      </c>
      <c r="R29" s="38"/>
      <c r="S29" s="40">
        <f t="shared" si="9"/>
        <v>13.094699304865939</v>
      </c>
      <c r="T29" s="49">
        <v>392</v>
      </c>
      <c r="U29" s="43">
        <f t="shared" si="8"/>
        <v>5133.1221275074477</v>
      </c>
      <c r="V29" s="36">
        <f t="shared" si="5"/>
        <v>0</v>
      </c>
      <c r="W29" s="19">
        <f>U29/V6</f>
        <v>3.1152533175817062E-2</v>
      </c>
    </row>
    <row r="30" spans="1:24">
      <c r="H30" s="30"/>
    </row>
    <row r="31" spans="1:24">
      <c r="H31" s="30"/>
    </row>
    <row r="32" spans="1:24">
      <c r="H32" s="30"/>
    </row>
    <row r="33" spans="8:8">
      <c r="H33" s="30"/>
    </row>
  </sheetData>
  <mergeCells count="5">
    <mergeCell ref="A9:A13"/>
    <mergeCell ref="N9:N13"/>
    <mergeCell ref="Q9:Q11"/>
    <mergeCell ref="A1:J1"/>
    <mergeCell ref="N1:W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1141009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林玉蕉a</dc:creator>
  <cp:lastModifiedBy>黃品翠</cp:lastModifiedBy>
  <dcterms:created xsi:type="dcterms:W3CDTF">2025-08-12T07:32:33Z</dcterms:created>
  <dcterms:modified xsi:type="dcterms:W3CDTF">2025-10-14T03:25:35Z</dcterms:modified>
</cp:coreProperties>
</file>